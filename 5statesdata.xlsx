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SABNE VAISHNAVI\Desktop\"/>
    </mc:Choice>
  </mc:AlternateContent>
  <xr:revisionPtr revIDLastSave="0" documentId="8_{A82D3207-37EB-4D75-8819-C9C1796DB7BE}" xr6:coauthVersionLast="47" xr6:coauthVersionMax="47" xr10:uidLastSave="{00000000-0000-0000-0000-000000000000}"/>
  <bookViews>
    <workbookView xWindow="-108" yWindow="-108" windowWidth="23256" windowHeight="12456" activeTab="5" xr2:uid="{05D63B11-40AF-4E9E-B942-7FE4B8836793}"/>
  </bookViews>
  <sheets>
    <sheet name="data" sheetId="4" r:id="rId1"/>
    <sheet name="Sheet7" sheetId="10" r:id="rId2"/>
    <sheet name="Sheet8" sheetId="11" r:id="rId3"/>
    <sheet name="dataset" sheetId="1" r:id="rId4"/>
    <sheet name="analysis and chart" sheetId="2" r:id="rId5"/>
    <sheet name="dashboard" sheetId="3" r:id="rId6"/>
  </sheets>
  <definedNames>
    <definedName name="ExternalData_1" localSheetId="0" hidden="1">data!$A$1:$C$446</definedName>
    <definedName name="Slicer_Months__Date">#N/A</definedName>
    <definedName name="Slicer_States">#N/A</definedName>
    <definedName name="Slicer_States1">#N/A</definedName>
  </definedNames>
  <calcPr calcId="191029" iterateDelta="1E-4"/>
  <pivotCaches>
    <pivotCache cacheId="15" r:id="rId7"/>
    <pivotCache cacheId="1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11" l="1"/>
  <c r="C12" i="11"/>
  <c r="C13" i="11"/>
  <c r="C14" i="11"/>
  <c r="C15" i="11"/>
  <c r="C16" i="11"/>
  <c r="C12" i="10"/>
  <c r="C13" i="10"/>
  <c r="C14" i="10"/>
  <c r="C15" i="10"/>
  <c r="C16" i="10"/>
  <c r="C17" i="10"/>
  <c r="K27" i="2"/>
  <c r="K28" i="2"/>
  <c r="K29" i="2"/>
  <c r="K30" i="2"/>
  <c r="K31" i="2"/>
  <c r="K32" i="2"/>
  <c r="K33" i="2"/>
  <c r="K34" i="2"/>
  <c r="K35" i="2"/>
  <c r="K36" i="2"/>
  <c r="K37" i="2"/>
  <c r="K38" i="2"/>
  <c r="K39" i="2"/>
  <c r="K40" i="2"/>
  <c r="K41" i="2"/>
  <c r="L27" i="2"/>
  <c r="L28" i="2"/>
  <c r="L29" i="2"/>
  <c r="L30" i="2"/>
  <c r="L31" i="2"/>
  <c r="L32" i="2"/>
  <c r="L33" i="2"/>
  <c r="L34" i="2"/>
  <c r="L35" i="2"/>
  <c r="L36" i="2"/>
  <c r="L37" i="2"/>
  <c r="L38" i="2"/>
  <c r="L39" i="2"/>
  <c r="L40" i="2"/>
  <c r="L41" i="2"/>
  <c r="L22" i="2"/>
  <c r="L23" i="2"/>
  <c r="L24" i="2"/>
  <c r="L25" i="2"/>
  <c r="L26" i="2"/>
  <c r="K22" i="2"/>
  <c r="K23" i="2"/>
  <c r="K24" i="2"/>
  <c r="K25" i="2"/>
  <c r="K26" i="2"/>
  <c r="C16" i="2"/>
  <c r="B16" i="2"/>
  <c r="A16" i="2"/>
  <c r="D11" i="11" l="1"/>
  <c r="E11" i="11"/>
  <c r="D12" i="11"/>
  <c r="E12" i="11"/>
  <c r="D13" i="11"/>
  <c r="E13" i="11"/>
  <c r="D14" i="11"/>
  <c r="E14" i="11"/>
  <c r="D15" i="11"/>
  <c r="E15" i="11"/>
  <c r="D16" i="11"/>
  <c r="E16" i="11"/>
  <c r="D12" i="10"/>
  <c r="E12" i="10"/>
  <c r="D13" i="10"/>
  <c r="E13" i="10"/>
  <c r="D14" i="10"/>
  <c r="E14" i="10"/>
  <c r="D15" i="10"/>
  <c r="E15" i="10"/>
  <c r="D16" i="10"/>
  <c r="E16" i="10"/>
  <c r="D17" i="10"/>
  <c r="E1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077334-57A6-4CBE-B1F0-B74345F93D58}"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<sst xmlns="http://schemas.openxmlformats.org/spreadsheetml/2006/main" count="597" uniqueCount="121">
  <si>
    <t>Punjab</t>
  </si>
  <si>
    <t>Haryana</t>
  </si>
  <si>
    <t>Rajasthan</t>
  </si>
  <si>
    <t>Delhi</t>
  </si>
  <si>
    <t>UP</t>
  </si>
  <si>
    <t>Date</t>
  </si>
  <si>
    <t>Row Labels</t>
  </si>
  <si>
    <t>Grand Total</t>
  </si>
  <si>
    <t>Mar</t>
  </si>
  <si>
    <t>Apr</t>
  </si>
  <si>
    <t>May</t>
  </si>
  <si>
    <t>Column Labels</t>
  </si>
  <si>
    <t>Sum of Punjab</t>
  </si>
  <si>
    <t>Sum of Haryana</t>
  </si>
  <si>
    <t>Sum of Rajasthan</t>
  </si>
  <si>
    <t>Sum of Delhi</t>
  </si>
  <si>
    <t>Sum of UP</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</si>
  <si>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</si>
  <si>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</si>
  <si>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</si>
  <si>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</si>
  <si>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</si>
  <si>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</si>
  <si>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</si>
  <si>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</si>
  <si>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</si>
  <si>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</si>
  <si>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</si>
  <si>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</si>
  <si>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</si>
  <si>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</si>
  <si>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</si>
  <si>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</si>
  <si>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</si>
  <si>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</si>
  <si>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</si>
  <si>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</si>
  <si>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</si>
  <si>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</si>
  <si>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</si>
  <si>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</si>
  <si>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</si>
  <si>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</si>
  <si>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</si>
  <si>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</si>
  <si>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</si>
  <si>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</si>
  <si>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 xml:space="preserve">Monthly electricity  demand by states </t>
  </si>
  <si>
    <t>States</t>
  </si>
  <si>
    <t>Demand</t>
  </si>
  <si>
    <t>Sum of Demand</t>
  </si>
  <si>
    <t>Average of Demand</t>
  </si>
  <si>
    <t>peak demand</t>
  </si>
  <si>
    <t>min demand</t>
  </si>
  <si>
    <t>avg demand</t>
  </si>
  <si>
    <t>02-Apr</t>
  </si>
  <si>
    <t>03-Apr</t>
  </si>
  <si>
    <t>04-Apr</t>
  </si>
  <si>
    <t>05-Apr</t>
  </si>
  <si>
    <t>06-Apr</t>
  </si>
  <si>
    <t>07-Apr</t>
  </si>
  <si>
    <t>08-Apr</t>
  </si>
  <si>
    <t>09-Apr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</si>
  <si>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</si>
  <si>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</si>
  <si>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</si>
  <si>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</si>
  <si>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</si>
  <si>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</si>
  <si>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</si>
  <si>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</si>
  <si>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</si>
  <si>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</si>
  <si>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</si>
  <si>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</si>
  <si>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</si>
  <si>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</si>
  <si>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</si>
  <si>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</si>
  <si>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</si>
  <si>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</si>
  <si>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</si>
  <si>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</si>
  <si>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</si>
  <si>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02-May</t>
  </si>
  <si>
    <t>03-May</t>
  </si>
  <si>
    <t>04-May</t>
  </si>
  <si>
    <t>05-May</t>
  </si>
  <si>
    <t>06-May</t>
  </si>
  <si>
    <t>07-May</t>
  </si>
  <si>
    <t>08-May</t>
  </si>
  <si>
    <t>09-May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</si>
  <si>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</si>
  <si>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</si>
  <si>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</si>
  <si>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</si>
  <si>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</si>
  <si>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</si>
  <si>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</si>
  <si>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</si>
  <si>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</si>
  <si>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</si>
  <si>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</si>
  <si>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</si>
  <si>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</si>
  <si>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</si>
  <si>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</si>
  <si>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</si>
  <si>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</si>
  <si>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</si>
  <si>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</si>
  <si>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</si>
  <si>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</si>
  <si>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</si>
  <si>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top 10 peak days</t>
  </si>
  <si>
    <t>helps in understhanding the temp</t>
  </si>
  <si>
    <t>Timeline</t>
  </si>
  <si>
    <t>Values</t>
  </si>
  <si>
    <t>Forecast</t>
  </si>
  <si>
    <t>Lower Confidence Bound</t>
  </si>
  <si>
    <t>Upper Confidence 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</si>
</sst>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2" fontId="0" fillId="0" borderId="0" xfId="0" applyNumberFormat="1"/>
  </cellXfs>
  <cellStyles count="1">
    <cellStyle name="Normal" xfId="0" builtinId="0"/>
  </cellStyles>
  <dxfs count="11">
    <dxf>
      <numFmt numFmtId="2" formatCode="0.00"/>
    </dxf>
    <dxf>
      <numFmt numFmtId="2" formatCode="0.00"/>
    </dxf>
    <dxf>
      <numFmt numFmtId="27" formatCode="dd/mm/yyyy\ hh:mm"/>
    </dxf>
    <dxf>
      <numFmt numFmtId="2" formatCode="0.00"/>
    </dxf>
    <dxf>
      <numFmt numFmtId="2" formatCode="0.00"/>
    </dxf>
    <dxf>
      <numFmt numFmtId="27" formatCode="dd/mm/yyyy\ hh:mm"/>
    </dxf>
    <dxf>
      <numFmt numFmtId="0" formatCode="General"/>
    </dxf>
    <dxf>
      <numFmt numFmtId="0" formatCode="General"/>
    </dxf>
    <dxf>
      <numFmt numFmtId="0" formatCode="General"/>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Sheet7!$B$1</c:f>
              <c:strCache>
                <c:ptCount val="1"/>
                <c:pt idx="0">
                  <c:v>Values</c:v>
                </c:pt>
              </c:strCache>
            </c:strRef>
          </c:tx>
          <c:spPr>
            <a:ln w="28575" cap="rnd">
              <a:solidFill>
                <a:schemeClr val="accent1"/>
              </a:solidFill>
              <a:round/>
            </a:ln>
            <a:effectLst/>
          </c:spPr>
          <c:marker>
            <c:symbol val="none"/>
          </c:marker>
          <c:val>
            <c:numRef>
              <c:f>Sheet7!$B$2:$B$17</c:f>
              <c:numCache>
                <c:formatCode>General</c:formatCode>
                <c:ptCount val="16"/>
                <c:pt idx="0">
                  <c:v>102.9</c:v>
                </c:pt>
                <c:pt idx="1">
                  <c:v>104.2</c:v>
                </c:pt>
                <c:pt idx="2">
                  <c:v>106.9</c:v>
                </c:pt>
                <c:pt idx="3">
                  <c:v>111.2</c:v>
                </c:pt>
                <c:pt idx="4">
                  <c:v>111.6</c:v>
                </c:pt>
                <c:pt idx="5">
                  <c:v>106.1</c:v>
                </c:pt>
                <c:pt idx="6">
                  <c:v>245.8</c:v>
                </c:pt>
                <c:pt idx="7">
                  <c:v>256.7</c:v>
                </c:pt>
                <c:pt idx="8">
                  <c:v>265.3</c:v>
                </c:pt>
                <c:pt idx="9">
                  <c:v>266.5</c:v>
                </c:pt>
              </c:numCache>
            </c:numRef>
          </c:val>
          <c:smooth val="0"/>
          <c:extLst>
            <c:ext xmlns:c16="http://schemas.microsoft.com/office/drawing/2014/chart" uri="{C3380CC4-5D6E-409C-BE32-E72D297353CC}">
              <c16:uniqueId val="{00000000-7EF2-42AD-8EB3-9F54A69864BC}"/>
            </c:ext>
          </c:extLst>
        </c:ser>
        <c:ser>
          <c:idx val="1"/>
          <c:order val="1"/>
          <c:tx>
            <c:strRef>
              <c:f>Sheet7!$C$1</c:f>
              <c:strCache>
                <c:ptCount val="1"/>
                <c:pt idx="0">
                  <c:v>Forecast</c:v>
                </c:pt>
              </c:strCache>
            </c:strRef>
          </c:tx>
          <c:spPr>
            <a:ln w="25400" cap="rnd">
              <a:solidFill>
                <a:schemeClr val="accent2"/>
              </a:solidFill>
              <a:round/>
            </a:ln>
            <a:effectLst/>
          </c:spPr>
          <c:marker>
            <c:symbol val="none"/>
          </c:marker>
          <c:cat>
            <c:numRef>
              <c:f>Sheet7!$A$2:$A$17</c:f>
              <c:numCache>
                <c:formatCode>m/d/yyyy\ h:mm</c:formatCode>
                <c:ptCount val="16"/>
                <c:pt idx="0">
                  <c:v>43526</c:v>
                </c:pt>
                <c:pt idx="1">
                  <c:v>43527</c:v>
                </c:pt>
                <c:pt idx="2">
                  <c:v>43528</c:v>
                </c:pt>
                <c:pt idx="3">
                  <c:v>43529</c:v>
                </c:pt>
                <c:pt idx="4">
                  <c:v>43530</c:v>
                </c:pt>
                <c:pt idx="5">
                  <c:v>43531</c:v>
                </c:pt>
                <c:pt idx="6">
                  <c:v>43532</c:v>
                </c:pt>
                <c:pt idx="7">
                  <c:v>43533</c:v>
                </c:pt>
                <c:pt idx="8">
                  <c:v>43534</c:v>
                </c:pt>
                <c:pt idx="9">
                  <c:v>43535</c:v>
                </c:pt>
                <c:pt idx="10">
                  <c:v>43536</c:v>
                </c:pt>
                <c:pt idx="11">
                  <c:v>43537</c:v>
                </c:pt>
                <c:pt idx="12">
                  <c:v>43538</c:v>
                </c:pt>
                <c:pt idx="13">
                  <c:v>43539</c:v>
                </c:pt>
                <c:pt idx="14">
                  <c:v>43540</c:v>
                </c:pt>
                <c:pt idx="15">
                  <c:v>43541</c:v>
                </c:pt>
              </c:numCache>
            </c:numRef>
          </c:cat>
          <c:val>
            <c:numRef>
              <c:f>Sheet7!$C$2:$C$17</c:f>
              <c:numCache>
                <c:formatCode>General</c:formatCode>
                <c:ptCount val="16"/>
                <c:pt idx="9">
                  <c:v>266.5</c:v>
                </c:pt>
                <c:pt idx="10">
                  <c:v>295.18041698142264</c:v>
                </c:pt>
                <c:pt idx="11">
                  <c:v>317.84612630865712</c:v>
                </c:pt>
                <c:pt idx="12">
                  <c:v>340.51183563589154</c:v>
                </c:pt>
                <c:pt idx="13">
                  <c:v>363.17754496312602</c:v>
                </c:pt>
                <c:pt idx="14">
                  <c:v>385.84325429036045</c:v>
                </c:pt>
                <c:pt idx="15">
                  <c:v>408.50896361759487</c:v>
                </c:pt>
              </c:numCache>
            </c:numRef>
          </c:val>
          <c:smooth val="0"/>
          <c:extLst>
            <c:ext xmlns:c16="http://schemas.microsoft.com/office/drawing/2014/chart" uri="{C3380CC4-5D6E-409C-BE32-E72D297353CC}">
              <c16:uniqueId val="{00000001-7EF2-42AD-8EB3-9F54A69864BC}"/>
            </c:ext>
          </c:extLst>
        </c:ser>
        <c:ser>
          <c:idx val="2"/>
          <c:order val="2"/>
          <c:tx>
            <c:strRef>
              <c:f>Sheet7!$D$1</c:f>
              <c:strCache>
                <c:ptCount val="1"/>
                <c:pt idx="0">
                  <c:v>Lower Confidence Bound</c:v>
                </c:pt>
              </c:strCache>
            </c:strRef>
          </c:tx>
          <c:spPr>
            <a:ln w="12700" cap="rnd">
              <a:solidFill>
                <a:srgbClr val="ED7D31"/>
              </a:solidFill>
              <a:prstDash val="solid"/>
              <a:round/>
            </a:ln>
            <a:effectLst/>
          </c:spPr>
          <c:marker>
            <c:symbol val="none"/>
          </c:marker>
          <c:cat>
            <c:numRef>
              <c:f>Sheet7!$A$2:$A$17</c:f>
              <c:numCache>
                <c:formatCode>m/d/yyyy\ h:mm</c:formatCode>
                <c:ptCount val="16"/>
                <c:pt idx="0">
                  <c:v>43526</c:v>
                </c:pt>
                <c:pt idx="1">
                  <c:v>43527</c:v>
                </c:pt>
                <c:pt idx="2">
                  <c:v>43528</c:v>
                </c:pt>
                <c:pt idx="3">
                  <c:v>43529</c:v>
                </c:pt>
                <c:pt idx="4">
                  <c:v>43530</c:v>
                </c:pt>
                <c:pt idx="5">
                  <c:v>43531</c:v>
                </c:pt>
                <c:pt idx="6">
                  <c:v>43532</c:v>
                </c:pt>
                <c:pt idx="7">
                  <c:v>43533</c:v>
                </c:pt>
                <c:pt idx="8">
                  <c:v>43534</c:v>
                </c:pt>
                <c:pt idx="9">
                  <c:v>43535</c:v>
                </c:pt>
                <c:pt idx="10">
                  <c:v>43536</c:v>
                </c:pt>
                <c:pt idx="11">
                  <c:v>43537</c:v>
                </c:pt>
                <c:pt idx="12">
                  <c:v>43538</c:v>
                </c:pt>
                <c:pt idx="13">
                  <c:v>43539</c:v>
                </c:pt>
                <c:pt idx="14">
                  <c:v>43540</c:v>
                </c:pt>
                <c:pt idx="15">
                  <c:v>43541</c:v>
                </c:pt>
              </c:numCache>
            </c:numRef>
          </c:cat>
          <c:val>
            <c:numRef>
              <c:f>Sheet7!$D$2:$D$17</c:f>
              <c:numCache>
                <c:formatCode>General</c:formatCode>
                <c:ptCount val="16"/>
                <c:pt idx="9" formatCode="0.00">
                  <c:v>266.5</c:v>
                </c:pt>
                <c:pt idx="10" formatCode="0.00">
                  <c:v>215.78393398455066</c:v>
                </c:pt>
                <c:pt idx="11" formatCode="0.00">
                  <c:v>218.552864357023</c:v>
                </c:pt>
                <c:pt idx="12" formatCode="0.00">
                  <c:v>224.64994872137581</c:v>
                </c:pt>
                <c:pt idx="13" formatCode="0.00">
                  <c:v>232.80005829052524</c:v>
                </c:pt>
                <c:pt idx="14" formatCode="0.00">
                  <c:v>242.37862083801664</c:v>
                </c:pt>
                <c:pt idx="15" formatCode="0.00">
                  <c:v>253.02447722538744</c:v>
                </c:pt>
              </c:numCache>
            </c:numRef>
          </c:val>
          <c:smooth val="0"/>
          <c:extLst>
            <c:ext xmlns:c16="http://schemas.microsoft.com/office/drawing/2014/chart" uri="{C3380CC4-5D6E-409C-BE32-E72D297353CC}">
              <c16:uniqueId val="{00000002-7EF2-42AD-8EB3-9F54A69864BC}"/>
            </c:ext>
          </c:extLst>
        </c:ser>
        <c:ser>
          <c:idx val="3"/>
          <c:order val="3"/>
          <c:tx>
            <c:strRef>
              <c:f>Sheet7!$E$1</c:f>
              <c:strCache>
                <c:ptCount val="1"/>
                <c:pt idx="0">
                  <c:v>Upper Confidence Bound</c:v>
                </c:pt>
              </c:strCache>
            </c:strRef>
          </c:tx>
          <c:spPr>
            <a:ln w="12700" cap="rnd">
              <a:solidFill>
                <a:srgbClr val="ED7D31"/>
              </a:solidFill>
              <a:prstDash val="solid"/>
              <a:round/>
            </a:ln>
            <a:effectLst/>
          </c:spPr>
          <c:marker>
            <c:symbol val="none"/>
          </c:marker>
          <c:cat>
            <c:numRef>
              <c:f>Sheet7!$A$2:$A$17</c:f>
              <c:numCache>
                <c:formatCode>m/d/yyyy\ h:mm</c:formatCode>
                <c:ptCount val="16"/>
                <c:pt idx="0">
                  <c:v>43526</c:v>
                </c:pt>
                <c:pt idx="1">
                  <c:v>43527</c:v>
                </c:pt>
                <c:pt idx="2">
                  <c:v>43528</c:v>
                </c:pt>
                <c:pt idx="3">
                  <c:v>43529</c:v>
                </c:pt>
                <c:pt idx="4">
                  <c:v>43530</c:v>
                </c:pt>
                <c:pt idx="5">
                  <c:v>43531</c:v>
                </c:pt>
                <c:pt idx="6">
                  <c:v>43532</c:v>
                </c:pt>
                <c:pt idx="7">
                  <c:v>43533</c:v>
                </c:pt>
                <c:pt idx="8">
                  <c:v>43534</c:v>
                </c:pt>
                <c:pt idx="9">
                  <c:v>43535</c:v>
                </c:pt>
                <c:pt idx="10">
                  <c:v>43536</c:v>
                </c:pt>
                <c:pt idx="11">
                  <c:v>43537</c:v>
                </c:pt>
                <c:pt idx="12">
                  <c:v>43538</c:v>
                </c:pt>
                <c:pt idx="13">
                  <c:v>43539</c:v>
                </c:pt>
                <c:pt idx="14">
                  <c:v>43540</c:v>
                </c:pt>
                <c:pt idx="15">
                  <c:v>43541</c:v>
                </c:pt>
              </c:numCache>
            </c:numRef>
          </c:cat>
          <c:val>
            <c:numRef>
              <c:f>Sheet7!$E$2:$E$17</c:f>
              <c:numCache>
                <c:formatCode>General</c:formatCode>
                <c:ptCount val="16"/>
                <c:pt idx="9" formatCode="0.00">
                  <c:v>266.5</c:v>
                </c:pt>
                <c:pt idx="10" formatCode="0.00">
                  <c:v>374.57689997829459</c:v>
                </c:pt>
                <c:pt idx="11" formatCode="0.00">
                  <c:v>417.13938826029124</c:v>
                </c:pt>
                <c:pt idx="12" formatCode="0.00">
                  <c:v>456.37372255040725</c:v>
                </c:pt>
                <c:pt idx="13" formatCode="0.00">
                  <c:v>493.55503163572678</c:v>
                </c:pt>
                <c:pt idx="14" formatCode="0.00">
                  <c:v>529.30788774270422</c:v>
                </c:pt>
                <c:pt idx="15" formatCode="0.00">
                  <c:v>563.99345000980225</c:v>
                </c:pt>
              </c:numCache>
            </c:numRef>
          </c:val>
          <c:smooth val="0"/>
          <c:extLst>
            <c:ext xmlns:c16="http://schemas.microsoft.com/office/drawing/2014/chart" uri="{C3380CC4-5D6E-409C-BE32-E72D297353CC}">
              <c16:uniqueId val="{00000003-7EF2-42AD-8EB3-9F54A69864BC}"/>
            </c:ext>
          </c:extLst>
        </c:ser>
        <c:dLbls>
          <c:showLegendKey val="0"/>
          <c:showVal val="0"/>
          <c:showCatName val="0"/>
          <c:showSerName val="0"/>
          <c:showPercent val="0"/>
          <c:showBubbleSize val="0"/>
        </c:dLbls>
        <c:smooth val="0"/>
        <c:axId val="324404127"/>
        <c:axId val="324407967"/>
      </c:lineChart>
      <c:catAx>
        <c:axId val="32440412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407967"/>
        <c:crosses val="autoZero"/>
        <c:auto val="1"/>
        <c:lblAlgn val="ctr"/>
        <c:lblOffset val="100"/>
        <c:noMultiLvlLbl val="0"/>
      </c:catAx>
      <c:valAx>
        <c:axId val="32440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404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Sheet8!$B$1</c:f>
              <c:strCache>
                <c:ptCount val="1"/>
                <c:pt idx="0">
                  <c:v>Values</c:v>
                </c:pt>
              </c:strCache>
            </c:strRef>
          </c:tx>
          <c:spPr>
            <a:ln w="28575" cap="rnd">
              <a:solidFill>
                <a:schemeClr val="accent1"/>
              </a:solidFill>
              <a:round/>
            </a:ln>
            <a:effectLst/>
          </c:spPr>
          <c:marker>
            <c:symbol val="none"/>
          </c:marker>
          <c:val>
            <c:numRef>
              <c:f>Sheet8!$B$2:$B$16</c:f>
              <c:numCache>
                <c:formatCode>General</c:formatCode>
                <c:ptCount val="15"/>
                <c:pt idx="0">
                  <c:v>116.3</c:v>
                </c:pt>
                <c:pt idx="1">
                  <c:v>123.1</c:v>
                </c:pt>
                <c:pt idx="2">
                  <c:v>124</c:v>
                </c:pt>
                <c:pt idx="3">
                  <c:v>125.6</c:v>
                </c:pt>
                <c:pt idx="4">
                  <c:v>124.7</c:v>
                </c:pt>
                <c:pt idx="5">
                  <c:v>116.3</c:v>
                </c:pt>
                <c:pt idx="6">
                  <c:v>186</c:v>
                </c:pt>
                <c:pt idx="7">
                  <c:v>204.4</c:v>
                </c:pt>
                <c:pt idx="8">
                  <c:v>217</c:v>
                </c:pt>
              </c:numCache>
            </c:numRef>
          </c:val>
          <c:smooth val="0"/>
          <c:extLst>
            <c:ext xmlns:c16="http://schemas.microsoft.com/office/drawing/2014/chart" uri="{C3380CC4-5D6E-409C-BE32-E72D297353CC}">
              <c16:uniqueId val="{00000000-D39E-4034-AEB4-3DB8CFB45C16}"/>
            </c:ext>
          </c:extLst>
        </c:ser>
        <c:ser>
          <c:idx val="1"/>
          <c:order val="1"/>
          <c:tx>
            <c:strRef>
              <c:f>Sheet8!$C$1</c:f>
              <c:strCache>
                <c:ptCount val="1"/>
                <c:pt idx="0">
                  <c:v>Forecast</c:v>
                </c:pt>
              </c:strCache>
            </c:strRef>
          </c:tx>
          <c:spPr>
            <a:ln w="25400" cap="rnd">
              <a:solidFill>
                <a:schemeClr val="accent2"/>
              </a:solidFill>
              <a:round/>
            </a:ln>
            <a:effectLst/>
          </c:spPr>
          <c:marker>
            <c:symbol val="none"/>
          </c:marker>
          <c:cat>
            <c:numRef>
              <c:f>Sheet8!$A$2:$A$16</c:f>
              <c:numCache>
                <c:formatCode>m/d/yyyy\ h:mm</c:formatCode>
                <c:ptCount val="15"/>
                <c:pt idx="0">
                  <c:v>43526</c:v>
                </c:pt>
                <c:pt idx="1">
                  <c:v>43527</c:v>
                </c:pt>
                <c:pt idx="2">
                  <c:v>43528</c:v>
                </c:pt>
                <c:pt idx="3">
                  <c:v>43529</c:v>
                </c:pt>
                <c:pt idx="4">
                  <c:v>43530</c:v>
                </c:pt>
                <c:pt idx="5">
                  <c:v>43531</c:v>
                </c:pt>
                <c:pt idx="6">
                  <c:v>43532</c:v>
                </c:pt>
                <c:pt idx="7">
                  <c:v>43533</c:v>
                </c:pt>
                <c:pt idx="8">
                  <c:v>43534</c:v>
                </c:pt>
                <c:pt idx="9">
                  <c:v>43535</c:v>
                </c:pt>
                <c:pt idx="10">
                  <c:v>43536</c:v>
                </c:pt>
                <c:pt idx="11">
                  <c:v>43537</c:v>
                </c:pt>
                <c:pt idx="12">
                  <c:v>43538</c:v>
                </c:pt>
                <c:pt idx="13">
                  <c:v>43539</c:v>
                </c:pt>
                <c:pt idx="14">
                  <c:v>43540</c:v>
                </c:pt>
              </c:numCache>
            </c:numRef>
          </c:cat>
          <c:val>
            <c:numRef>
              <c:f>Sheet8!$C$2:$C$16</c:f>
              <c:numCache>
                <c:formatCode>General</c:formatCode>
                <c:ptCount val="15"/>
                <c:pt idx="8">
                  <c:v>217</c:v>
                </c:pt>
                <c:pt idx="9">
                  <c:v>229.5859357581536</c:v>
                </c:pt>
                <c:pt idx="10">
                  <c:v>242.27511314477925</c:v>
                </c:pt>
                <c:pt idx="11">
                  <c:v>254.96429053140488</c:v>
                </c:pt>
                <c:pt idx="12">
                  <c:v>267.65346791803051</c:v>
                </c:pt>
                <c:pt idx="13">
                  <c:v>280.34264530465617</c:v>
                </c:pt>
                <c:pt idx="14">
                  <c:v>293.03182269128183</c:v>
                </c:pt>
              </c:numCache>
            </c:numRef>
          </c:val>
          <c:smooth val="0"/>
          <c:extLst>
            <c:ext xmlns:c16="http://schemas.microsoft.com/office/drawing/2014/chart" uri="{C3380CC4-5D6E-409C-BE32-E72D297353CC}">
              <c16:uniqueId val="{00000001-D39E-4034-AEB4-3DB8CFB45C16}"/>
            </c:ext>
          </c:extLst>
        </c:ser>
        <c:ser>
          <c:idx val="2"/>
          <c:order val="2"/>
          <c:tx>
            <c:strRef>
              <c:f>Sheet8!$D$1</c:f>
              <c:strCache>
                <c:ptCount val="1"/>
                <c:pt idx="0">
                  <c:v>Lower Confidence Bound</c:v>
                </c:pt>
              </c:strCache>
            </c:strRef>
          </c:tx>
          <c:spPr>
            <a:ln w="12700" cap="rnd">
              <a:solidFill>
                <a:srgbClr val="ED7D31"/>
              </a:solidFill>
              <a:prstDash val="solid"/>
              <a:round/>
            </a:ln>
            <a:effectLst/>
          </c:spPr>
          <c:marker>
            <c:symbol val="none"/>
          </c:marker>
          <c:cat>
            <c:numRef>
              <c:f>Sheet8!$A$2:$A$16</c:f>
              <c:numCache>
                <c:formatCode>m/d/yyyy\ h:mm</c:formatCode>
                <c:ptCount val="15"/>
                <c:pt idx="0">
                  <c:v>43526</c:v>
                </c:pt>
                <c:pt idx="1">
                  <c:v>43527</c:v>
                </c:pt>
                <c:pt idx="2">
                  <c:v>43528</c:v>
                </c:pt>
                <c:pt idx="3">
                  <c:v>43529</c:v>
                </c:pt>
                <c:pt idx="4">
                  <c:v>43530</c:v>
                </c:pt>
                <c:pt idx="5">
                  <c:v>43531</c:v>
                </c:pt>
                <c:pt idx="6">
                  <c:v>43532</c:v>
                </c:pt>
                <c:pt idx="7">
                  <c:v>43533</c:v>
                </c:pt>
                <c:pt idx="8">
                  <c:v>43534</c:v>
                </c:pt>
                <c:pt idx="9">
                  <c:v>43535</c:v>
                </c:pt>
                <c:pt idx="10">
                  <c:v>43536</c:v>
                </c:pt>
                <c:pt idx="11">
                  <c:v>43537</c:v>
                </c:pt>
                <c:pt idx="12">
                  <c:v>43538</c:v>
                </c:pt>
                <c:pt idx="13">
                  <c:v>43539</c:v>
                </c:pt>
                <c:pt idx="14">
                  <c:v>43540</c:v>
                </c:pt>
              </c:numCache>
            </c:numRef>
          </c:cat>
          <c:val>
            <c:numRef>
              <c:f>Sheet8!$D$2:$D$16</c:f>
              <c:numCache>
                <c:formatCode>General</c:formatCode>
                <c:ptCount val="15"/>
                <c:pt idx="8" formatCode="0.00">
                  <c:v>217</c:v>
                </c:pt>
                <c:pt idx="9" formatCode="0.00">
                  <c:v>187.25677612995028</c:v>
                </c:pt>
                <c:pt idx="10" formatCode="0.00">
                  <c:v>185.29872775610619</c:v>
                </c:pt>
                <c:pt idx="11" formatCode="0.00">
                  <c:v>186.37792331226112</c:v>
                </c:pt>
                <c:pt idx="12" formatCode="0.00">
                  <c:v>189.13528424426391</c:v>
                </c:pt>
                <c:pt idx="13" formatCode="0.00">
                  <c:v>192.99644748930515</c:v>
                </c:pt>
                <c:pt idx="14" formatCode="0.00">
                  <c:v>197.65440047853798</c:v>
                </c:pt>
              </c:numCache>
            </c:numRef>
          </c:val>
          <c:smooth val="0"/>
          <c:extLst>
            <c:ext xmlns:c16="http://schemas.microsoft.com/office/drawing/2014/chart" uri="{C3380CC4-5D6E-409C-BE32-E72D297353CC}">
              <c16:uniqueId val="{00000002-D39E-4034-AEB4-3DB8CFB45C16}"/>
            </c:ext>
          </c:extLst>
        </c:ser>
        <c:ser>
          <c:idx val="3"/>
          <c:order val="3"/>
          <c:tx>
            <c:strRef>
              <c:f>Sheet8!$E$1</c:f>
              <c:strCache>
                <c:ptCount val="1"/>
                <c:pt idx="0">
                  <c:v>Upper Confidence Bound</c:v>
                </c:pt>
              </c:strCache>
            </c:strRef>
          </c:tx>
          <c:spPr>
            <a:ln w="12700" cap="rnd">
              <a:solidFill>
                <a:srgbClr val="ED7D31"/>
              </a:solidFill>
              <a:prstDash val="solid"/>
              <a:round/>
            </a:ln>
            <a:effectLst/>
          </c:spPr>
          <c:marker>
            <c:symbol val="none"/>
          </c:marker>
          <c:cat>
            <c:numRef>
              <c:f>Sheet8!$A$2:$A$16</c:f>
              <c:numCache>
                <c:formatCode>m/d/yyyy\ h:mm</c:formatCode>
                <c:ptCount val="15"/>
                <c:pt idx="0">
                  <c:v>43526</c:v>
                </c:pt>
                <c:pt idx="1">
                  <c:v>43527</c:v>
                </c:pt>
                <c:pt idx="2">
                  <c:v>43528</c:v>
                </c:pt>
                <c:pt idx="3">
                  <c:v>43529</c:v>
                </c:pt>
                <c:pt idx="4">
                  <c:v>43530</c:v>
                </c:pt>
                <c:pt idx="5">
                  <c:v>43531</c:v>
                </c:pt>
                <c:pt idx="6">
                  <c:v>43532</c:v>
                </c:pt>
                <c:pt idx="7">
                  <c:v>43533</c:v>
                </c:pt>
                <c:pt idx="8">
                  <c:v>43534</c:v>
                </c:pt>
                <c:pt idx="9">
                  <c:v>43535</c:v>
                </c:pt>
                <c:pt idx="10">
                  <c:v>43536</c:v>
                </c:pt>
                <c:pt idx="11">
                  <c:v>43537</c:v>
                </c:pt>
                <c:pt idx="12">
                  <c:v>43538</c:v>
                </c:pt>
                <c:pt idx="13">
                  <c:v>43539</c:v>
                </c:pt>
                <c:pt idx="14">
                  <c:v>43540</c:v>
                </c:pt>
              </c:numCache>
            </c:numRef>
          </c:cat>
          <c:val>
            <c:numRef>
              <c:f>Sheet8!$E$2:$E$16</c:f>
              <c:numCache>
                <c:formatCode>General</c:formatCode>
                <c:ptCount val="15"/>
                <c:pt idx="8" formatCode="0.00">
                  <c:v>217</c:v>
                </c:pt>
                <c:pt idx="9" formatCode="0.00">
                  <c:v>271.91509538635688</c:v>
                </c:pt>
                <c:pt idx="10" formatCode="0.00">
                  <c:v>299.25149853345232</c:v>
                </c:pt>
                <c:pt idx="11" formatCode="0.00">
                  <c:v>323.55065775054868</c:v>
                </c:pt>
                <c:pt idx="12" formatCode="0.00">
                  <c:v>346.17165159179712</c:v>
                </c:pt>
                <c:pt idx="13" formatCode="0.00">
                  <c:v>367.68884312000716</c:v>
                </c:pt>
                <c:pt idx="14" formatCode="0.00">
                  <c:v>388.40924490402568</c:v>
                </c:pt>
              </c:numCache>
            </c:numRef>
          </c:val>
          <c:smooth val="0"/>
          <c:extLst>
            <c:ext xmlns:c16="http://schemas.microsoft.com/office/drawing/2014/chart" uri="{C3380CC4-5D6E-409C-BE32-E72D297353CC}">
              <c16:uniqueId val="{00000003-D39E-4034-AEB4-3DB8CFB45C16}"/>
            </c:ext>
          </c:extLst>
        </c:ser>
        <c:dLbls>
          <c:showLegendKey val="0"/>
          <c:showVal val="0"/>
          <c:showCatName val="0"/>
          <c:showSerName val="0"/>
          <c:showPercent val="0"/>
          <c:showBubbleSize val="0"/>
        </c:dLbls>
        <c:smooth val="0"/>
        <c:axId val="2137774207"/>
        <c:axId val="2137768447"/>
      </c:lineChart>
      <c:catAx>
        <c:axId val="213777420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768447"/>
        <c:crosses val="autoZero"/>
        <c:auto val="1"/>
        <c:lblAlgn val="ctr"/>
        <c:lblOffset val="100"/>
        <c:noMultiLvlLbl val="0"/>
      </c:catAx>
      <c:valAx>
        <c:axId val="213776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774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[5statesdata.xlsx]analysis and chart!PivotTable1</c:name>
    <c:fmtId val="29"/>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13648293963255"/>
          <c:y val="0.13323855351414407"/>
          <c:w val="0.58408486439195095"/>
          <c:h val="0.65853091280256637"/>
        </c:manualLayout>
      </c:layout>
      <c:lineChart>
        <c:grouping val="standard"/>
        <c:varyColors val="0"/>
        <c:ser>
          <c:idx val="0"/>
          <c:order val="0"/>
          <c:tx>
            <c:strRef>
              <c:f>'analysis and chart'!$B$1</c:f>
              <c:strCache>
                <c:ptCount val="1"/>
                <c:pt idx="0">
                  <c:v>Sum of Delhi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 and chart'!$A$2:$A$5</c:f>
              <c:strCache>
                <c:ptCount val="3"/>
                <c:pt idx="0">
                  <c:v>Mar</c:v>
                </c:pt>
                <c:pt idx="1">
                  <c:v>Apr</c:v>
                </c:pt>
                <c:pt idx="2">
                  <c:v>May</c:v>
                </c:pt>
              </c:strCache>
            </c:strRef>
          </c:cat>
          <c:val>
            <c:numRef>
              <c:f>'analysis and chart'!$B$2:$B$5</c:f>
              <c:numCache>
                <c:formatCode>General</c:formatCode>
                <c:ptCount val="3"/>
                <c:pt idx="0">
                  <c:v>2351.8999999999996</c:v>
                </c:pt>
                <c:pt idx="1">
                  <c:v>2397.2999999999997</c:v>
                </c:pt>
                <c:pt idx="2">
                  <c:v>2719.7999999999993</c:v>
                </c:pt>
              </c:numCache>
            </c:numRef>
          </c:val>
          <c:smooth val="0"/>
          <c:extLst>
            <c:ext xmlns:c16="http://schemas.microsoft.com/office/drawing/2014/chart" uri="{C3380CC4-5D6E-409C-BE32-E72D297353CC}">
              <c16:uniqueId val="{00000000-F8B1-4E29-85FA-27EAD2C12A7A}"/>
            </c:ext>
          </c:extLst>
        </c:ser>
        <c:ser>
          <c:idx val="1"/>
          <c:order val="1"/>
          <c:tx>
            <c:strRef>
              <c:f>'analysis and chart'!$C$1</c:f>
              <c:strCache>
                <c:ptCount val="1"/>
                <c:pt idx="0">
                  <c:v>Sum of Rajasthan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 and chart'!$A$2:$A$5</c:f>
              <c:strCache>
                <c:ptCount val="3"/>
                <c:pt idx="0">
                  <c:v>Mar</c:v>
                </c:pt>
                <c:pt idx="1">
                  <c:v>Apr</c:v>
                </c:pt>
                <c:pt idx="2">
                  <c:v>May</c:v>
                </c:pt>
              </c:strCache>
            </c:strRef>
          </c:cat>
          <c:val>
            <c:numRef>
              <c:f>'analysis and chart'!$C$2:$C$5</c:f>
              <c:numCache>
                <c:formatCode>General</c:formatCode>
                <c:ptCount val="3"/>
                <c:pt idx="0">
                  <c:v>6417.9000000000015</c:v>
                </c:pt>
                <c:pt idx="1">
                  <c:v>6811.1</c:v>
                </c:pt>
                <c:pt idx="2">
                  <c:v>6249.6999999999989</c:v>
                </c:pt>
              </c:numCache>
            </c:numRef>
          </c:val>
          <c:smooth val="0"/>
          <c:extLst>
            <c:ext xmlns:c16="http://schemas.microsoft.com/office/drawing/2014/chart" uri="{C3380CC4-5D6E-409C-BE32-E72D297353CC}">
              <c16:uniqueId val="{00000001-F8B1-4E29-85FA-27EAD2C12A7A}"/>
            </c:ext>
          </c:extLst>
        </c:ser>
        <c:ser>
          <c:idx val="2"/>
          <c:order val="2"/>
          <c:tx>
            <c:strRef>
              <c:f>'analysis and chart'!$D$1</c:f>
              <c:strCache>
                <c:ptCount val="1"/>
                <c:pt idx="0">
                  <c:v>Sum of Punjab</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'analysis and chart'!$A$2:$A$5</c:f>
              <c:strCache>
                <c:ptCount val="3"/>
                <c:pt idx="0">
                  <c:v>Mar</c:v>
                </c:pt>
                <c:pt idx="1">
                  <c:v>Apr</c:v>
                </c:pt>
                <c:pt idx="2">
                  <c:v>May</c:v>
                </c:pt>
              </c:strCache>
            </c:strRef>
          </c:cat>
          <c:val>
            <c:numRef>
              <c:f>'analysis and chart'!$D$2:$D$5</c:f>
              <c:numCache>
                <c:formatCode>General</c:formatCode>
                <c:ptCount val="3"/>
                <c:pt idx="0">
                  <c:v>4170.5000000000009</c:v>
                </c:pt>
                <c:pt idx="1">
                  <c:v>4395.6000000000013</c:v>
                </c:pt>
                <c:pt idx="2">
                  <c:v>4646.8000000000011</c:v>
                </c:pt>
              </c:numCache>
            </c:numRef>
          </c:val>
          <c:smooth val="0"/>
          <c:extLst>
            <c:ext xmlns:c16="http://schemas.microsoft.com/office/drawing/2014/chart" uri="{C3380CC4-5D6E-409C-BE32-E72D297353CC}">
              <c16:uniqueId val="{00000002-F8B1-4E29-85FA-27EAD2C12A7A}"/>
            </c:ext>
          </c:extLst>
        </c:ser>
        <c:ser>
          <c:idx val="3"/>
          <c:order val="3"/>
          <c:tx>
            <c:strRef>
              <c:f>'analysis and chart'!$E$1</c:f>
              <c:strCache>
                <c:ptCount val="1"/>
                <c:pt idx="0">
                  <c:v>Sum of UP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'analysis and chart'!$A$2:$A$5</c:f>
              <c:strCache>
                <c:ptCount val="3"/>
                <c:pt idx="0">
                  <c:v>Mar</c:v>
                </c:pt>
                <c:pt idx="1">
                  <c:v>Apr</c:v>
                </c:pt>
                <c:pt idx="2">
                  <c:v>May</c:v>
                </c:pt>
              </c:strCache>
            </c:strRef>
          </c:cat>
          <c:val>
            <c:numRef>
              <c:f>'analysis and chart'!$E$2:$E$5</c:f>
              <c:numCache>
                <c:formatCode>General</c:formatCode>
                <c:ptCount val="3"/>
                <c:pt idx="0">
                  <c:v>8977</c:v>
                </c:pt>
                <c:pt idx="1">
                  <c:v>8870.9000000000015</c:v>
                </c:pt>
                <c:pt idx="2">
                  <c:v>9702.4</c:v>
                </c:pt>
              </c:numCache>
            </c:numRef>
          </c:val>
          <c:smooth val="0"/>
          <c:extLst>
            <c:ext xmlns:c16="http://schemas.microsoft.com/office/drawing/2014/chart" uri="{C3380CC4-5D6E-409C-BE32-E72D297353CC}">
              <c16:uniqueId val="{00000003-F8B1-4E29-85FA-27EAD2C12A7A}"/>
            </c:ext>
          </c:extLst>
        </c:ser>
        <c:ser>
          <c:idx val="4"/>
          <c:order val="4"/>
          <c:tx>
            <c:strRef>
              <c:f>'analysis and chart'!$F$1</c:f>
              <c:strCache>
                <c:ptCount val="1"/>
                <c:pt idx="0">
                  <c:v>Sum of Haryana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'analysis and chart'!$A$2:$A$5</c:f>
              <c:strCache>
                <c:ptCount val="3"/>
                <c:pt idx="0">
                  <c:v>Mar</c:v>
                </c:pt>
                <c:pt idx="1">
                  <c:v>Apr</c:v>
                </c:pt>
                <c:pt idx="2">
                  <c:v>May</c:v>
                </c:pt>
              </c:strCache>
            </c:strRef>
          </c:cat>
          <c:val>
            <c:numRef>
              <c:f>'analysis and chart'!$F$2:$F$5</c:f>
              <c:numCache>
                <c:formatCode>General</c:formatCode>
                <c:ptCount val="3"/>
                <c:pt idx="0">
                  <c:v>4003.7</c:v>
                </c:pt>
                <c:pt idx="1">
                  <c:v>4140.7</c:v>
                </c:pt>
                <c:pt idx="2">
                  <c:v>4368.3999999999987</c:v>
                </c:pt>
              </c:numCache>
            </c:numRef>
          </c:val>
          <c:smooth val="0"/>
          <c:extLst>
            <c:ext xmlns:c16="http://schemas.microsoft.com/office/drawing/2014/chart" uri="{C3380CC4-5D6E-409C-BE32-E72D297353CC}">
              <c16:uniqueId val="{00000004-F8B1-4E29-85FA-27EAD2C12A7A}"/>
            </c:ext>
          </c:extLst>
        </c:ser>
        <c:dLbls>
          <c:showLegendKey val="0"/>
          <c:showVal val="0"/>
          <c:showCatName val="0"/>
          <c:showSerName val="0"/>
          <c:showPercent val="0"/>
          <c:showBubbleSize val="0"/>
        </c:dLbls>
        <c:marker val="1"/>
        <c:smooth val="0"/>
        <c:axId val="177416143"/>
        <c:axId val="177408943"/>
      </c:lineChart>
      <c:catAx>
        <c:axId val="17741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08943"/>
        <c:crosses val="autoZero"/>
        <c:auto val="1"/>
        <c:lblAlgn val="ctr"/>
        <c:lblOffset val="100"/>
        <c:noMultiLvlLbl val="0"/>
      </c:catAx>
      <c:valAx>
        <c:axId val="17740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1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[5statesdata.xlsx]analysis and chart!PivotTable2</c:name>
    <c:fmtId val="0"/>
  </c:pivotSource>
  <c:chart>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a:t>Monthly Demand</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and chart'!$B$8:$B$9</c:f>
              <c:strCache>
                <c:ptCount val="1"/>
                <c:pt idx="0">
                  <c:v>Punjab</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'analysis and chart'!$A$10:$A$13</c:f>
              <c:strCache>
                <c:ptCount val="3"/>
                <c:pt idx="0">
                  <c:v>Mar</c:v>
                </c:pt>
                <c:pt idx="1">
                  <c:v>Apr</c:v>
                </c:pt>
                <c:pt idx="2">
                  <c:v>May</c:v>
                </c:pt>
              </c:strCache>
            </c:strRef>
          </c:cat>
          <c:val>
            <c:numRef>
              <c:f>'analysis and chart'!$B$10:$B$13</c:f>
              <c:numCache>
                <c:formatCode>General</c:formatCode>
                <c:ptCount val="3"/>
                <c:pt idx="0">
                  <c:v>139.01666666666671</c:v>
                </c:pt>
                <c:pt idx="1">
                  <c:v>151.57241379310346</c:v>
                </c:pt>
                <c:pt idx="2">
                  <c:v>154.89333333333335</c:v>
                </c:pt>
              </c:numCache>
            </c:numRef>
          </c:val>
          <c:extLst>
            <c:ext xmlns:c16="http://schemas.microsoft.com/office/drawing/2014/chart" uri="{C3380CC4-5D6E-409C-BE32-E72D297353CC}">
              <c16:uniqueId val="{00000000-97E7-4E17-A502-6476BD02763C}"/>
            </c:ext>
          </c:extLst>
        </c:ser>
        <c:dLbls>
          <c:dLblPos val="outEnd"/>
          <c:showLegendKey val="0"/>
          <c:showVal val="1"/>
          <c:showCatName val="0"/>
          <c:showSerName val="0"/>
          <c:showPercent val="0"/>
          <c:showBubbleSize val="0"/>
        </c:dLbls>
        <c:gapWidth val="100"/>
        <c:overlap val="-24"/>
        <c:axId val="1348999183"/>
        <c:axId val="1367939359"/>
      </c:barChart>
      <c:catAx>
        <c:axId val="1348999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939359"/>
        <c:crosses val="autoZero"/>
        <c:auto val="1"/>
        <c:lblAlgn val="ctr"/>
        <c:lblOffset val="100"/>
        <c:noMultiLvlLbl val="0"/>
      </c:catAx>
      <c:valAx>
        <c:axId val="136793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99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[5statesdata.xlsx]analysis and chart!PivotTable3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Peak Days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and chart'!$F$8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multiLvlStrRef>
              <c:f>'analysis and chart'!$E$9:$E$20</c:f>
              <c:multiLvlStrCache>
                <c:ptCount val="10"/>
                <c:lvl>
                  <c:pt idx="3">
                    <c:v>Mar</c:v>
                  </c:pt>
                </c:lvl>
                <c:lvl>
                  <c:pt idx="0">
                    <c:v>08-Mar</c:v>
                  </c:pt>
                  <c:pt idx="1">
                    <c:v>09-Mar</c:v>
                  </c:pt>
                  <c:pt idx="2">
                    <c:v>10-Mar</c:v>
                  </c:pt>
                  <c:pt idx="3">
                    <c:v>11-Mar</c:v>
                  </c:pt>
                  <c:pt idx="4">
                    <c:v>12-Mar</c:v>
                  </c:pt>
                  <c:pt idx="5">
                    <c:v>13-Mar</c:v>
                  </c:pt>
                  <c:pt idx="6">
                    <c:v>14-Mar</c:v>
                  </c:pt>
                  <c:pt idx="7">
                    <c:v>29-Mar</c:v>
                  </c:pt>
                  <c:pt idx="8">
                    <c:v>30-Mar</c:v>
                  </c:pt>
                  <c:pt idx="9">
                    <c:v>31-Mar</c:v>
                  </c:pt>
                </c:lvl>
              </c:multiLvlStrCache>
            </c:multiLvlStrRef>
          </c:cat>
          <c:val>
            <c:numRef>
              <c:f>'analysis and chart'!$F$9:$F$20</c:f>
              <c:numCache>
                <c:formatCode>General</c:formatCode>
                <c:ptCount val="10"/>
                <c:pt idx="0">
                  <c:v>245.8</c:v>
                </c:pt>
                <c:pt idx="1">
                  <c:v>256.7</c:v>
                </c:pt>
                <c:pt idx="2">
                  <c:v>265.3</c:v>
                </c:pt>
                <c:pt idx="3">
                  <c:v>266.5</c:v>
                </c:pt>
                <c:pt idx="4">
                  <c:v>257.89999999999998</c:v>
                </c:pt>
                <c:pt idx="5">
                  <c:v>260.3</c:v>
                </c:pt>
                <c:pt idx="6">
                  <c:v>233.4</c:v>
                </c:pt>
                <c:pt idx="7">
                  <c:v>118.3</c:v>
                </c:pt>
                <c:pt idx="8">
                  <c:v>123.5</c:v>
                </c:pt>
                <c:pt idx="9">
                  <c:v>126.9</c:v>
                </c:pt>
              </c:numCache>
            </c:numRef>
          </c:val>
          <c:smooth val="0"/>
          <c:extLst>
            <c:ext xmlns:c16="http://schemas.microsoft.com/office/drawing/2014/chart" uri="{C3380CC4-5D6E-409C-BE32-E72D297353CC}">
              <c16:uniqueId val="{00000001-1DE2-44FE-B391-A6172296B5FD}"/>
            </c:ext>
          </c:extLst>
        </c:ser>
        <c:dLbls>
          <c:showLegendKey val="0"/>
          <c:showVal val="0"/>
          <c:showCatName val="0"/>
          <c:showSerName val="0"/>
          <c:showPercent val="0"/>
          <c:showBubbleSize val="0"/>
        </c:dLbls>
        <c:smooth val="0"/>
        <c:axId val="329530847"/>
        <c:axId val="329532287"/>
      </c:lineChart>
      <c:catAx>
        <c:axId val="32953084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532287"/>
        <c:crosses val="autoZero"/>
        <c:auto val="1"/>
        <c:lblAlgn val="ctr"/>
        <c:lblOffset val="100"/>
        <c:noMultiLvlLbl val="0"/>
      </c:catAx>
      <c:valAx>
        <c:axId val="32953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53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100" b="0">
                <a:latin typeface="Segoe UI Semibold" panose="020B0702040204020203" pitchFamily="34" charset="0"/>
                <a:cs typeface="Segoe UI Semibold" panose="020B0702040204020203" pitchFamily="34" charset="0"/>
              </a:rPr>
              <a:t>Weekly Forecasting</a:t>
            </a:r>
            <a:r>
              <a:rPr lang="en-IN" sz="1100" b="0" baseline="0">
                <a:latin typeface="Segoe UI Semibold" panose="020B0702040204020203" pitchFamily="34" charset="0"/>
                <a:cs typeface="Segoe UI Semibold" panose="020B0702040204020203" pitchFamily="34" charset="0"/>
              </a:rPr>
              <a:t> for </a:t>
            </a:r>
            <a:r>
              <a:rPr lang="en-IN" sz="1100" b="0">
                <a:latin typeface="Segoe UI Semibold" panose="020B0702040204020203" pitchFamily="34" charset="0"/>
                <a:cs typeface="Segoe UI Semibold" panose="020B0702040204020203" pitchFamily="34" charset="0"/>
              </a:rPr>
              <a:t>Punjab State </a:t>
            </a:r>
            <a:r>
              <a:rPr lang="en-IN" sz="1100" b="0" baseline="0">
                <a:latin typeface="Segoe UI Semibold" panose="020B0702040204020203" pitchFamily="34" charset="0"/>
                <a:cs typeface="Segoe UI Semibold" panose="020B0702040204020203" pitchFamily="34" charset="0"/>
              </a:rPr>
              <a:t> </a:t>
            </a:r>
            <a:endParaRPr lang="en-IN" sz="1100" b="0">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lotArea>
      <c:layout/>
      <c:lineChart>
        <c:grouping val="standard"/>
        <c:varyColors val="0"/>
        <c:ser>
          <c:idx val="0"/>
          <c:order val="0"/>
          <c:tx>
            <c:strRef>
              <c:f>Sheet7!$B$1</c:f>
              <c:strCache>
                <c:ptCount val="1"/>
                <c:pt idx="0">
                  <c:v>Values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Sheet7!$B$2:$B$17</c:f>
              <c:numCache>
                <c:formatCode>General</c:formatCode>
                <c:ptCount val="16"/>
                <c:pt idx="0">
                  <c:v>102.9</c:v>
                </c:pt>
                <c:pt idx="1">
                  <c:v>104.2</c:v>
                </c:pt>
                <c:pt idx="2">
                  <c:v>106.9</c:v>
                </c:pt>
                <c:pt idx="3">
                  <c:v>111.2</c:v>
                </c:pt>
                <c:pt idx="4">
                  <c:v>111.6</c:v>
                </c:pt>
                <c:pt idx="5">
                  <c:v>106.1</c:v>
                </c:pt>
                <c:pt idx="6">
                  <c:v>245.8</c:v>
                </c:pt>
                <c:pt idx="7">
                  <c:v>256.7</c:v>
                </c:pt>
                <c:pt idx="8">
                  <c:v>265.3</c:v>
                </c:pt>
                <c:pt idx="9">
                  <c:v>266.5</c:v>
                </c:pt>
              </c:numCache>
            </c:numRef>
          </c:val>
          <c:smooth val="0"/>
          <c:extLst>
            <c:ext xmlns:c16="http://schemas.microsoft.com/office/drawing/2014/chart" uri="{C3380CC4-5D6E-409C-BE32-E72D297353CC}">
              <c16:uniqueId val="{00000000-E9C4-424D-BB1D-A50C8679CC6C}"/>
            </c:ext>
          </c:extLst>
        </c:ser>
        <c:ser>
          <c:idx val="1"/>
          <c:order val="1"/>
          <c:tx>
            <c:strRef>
              <c:f>Sheet7!$C$1</c:f>
              <c:strCache>
                <c:ptCount val="1"/>
                <c:pt idx="0">
                  <c:v>Forecast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Sheet7!$A$2:$A$17</c:f>
              <c:numCache>
                <c:formatCode>m/d/yyyy\ h:mm</c:formatCode>
                <c:ptCount val="16"/>
                <c:pt idx="0">
                  <c:v>43526</c:v>
                </c:pt>
                <c:pt idx="1">
                  <c:v>43527</c:v>
                </c:pt>
                <c:pt idx="2">
                  <c:v>43528</c:v>
                </c:pt>
                <c:pt idx="3">
                  <c:v>43529</c:v>
                </c:pt>
                <c:pt idx="4">
                  <c:v>43530</c:v>
                </c:pt>
                <c:pt idx="5">
                  <c:v>43531</c:v>
                </c:pt>
                <c:pt idx="6">
                  <c:v>43532</c:v>
                </c:pt>
                <c:pt idx="7">
                  <c:v>43533</c:v>
                </c:pt>
                <c:pt idx="8">
                  <c:v>43534</c:v>
                </c:pt>
                <c:pt idx="9">
                  <c:v>43535</c:v>
                </c:pt>
                <c:pt idx="10">
                  <c:v>43536</c:v>
                </c:pt>
                <c:pt idx="11">
                  <c:v>43537</c:v>
                </c:pt>
                <c:pt idx="12">
                  <c:v>43538</c:v>
                </c:pt>
                <c:pt idx="13">
                  <c:v>43539</c:v>
                </c:pt>
                <c:pt idx="14">
                  <c:v>43540</c:v>
                </c:pt>
                <c:pt idx="15">
                  <c:v>43541</c:v>
                </c:pt>
              </c:numCache>
            </c:numRef>
          </c:cat>
          <c:val>
            <c:numRef>
              <c:f>Sheet7!$C$2:$C$17</c:f>
              <c:numCache>
                <c:formatCode>General</c:formatCode>
                <c:ptCount val="16"/>
                <c:pt idx="9">
                  <c:v>266.5</c:v>
                </c:pt>
                <c:pt idx="10">
                  <c:v>295.18041698142264</c:v>
                </c:pt>
                <c:pt idx="11">
                  <c:v>317.84612630865712</c:v>
                </c:pt>
                <c:pt idx="12">
                  <c:v>340.51183563589154</c:v>
                </c:pt>
                <c:pt idx="13">
                  <c:v>363.17754496312602</c:v>
                </c:pt>
                <c:pt idx="14">
                  <c:v>385.84325429036045</c:v>
                </c:pt>
                <c:pt idx="15">
                  <c:v>408.50896361759487</c:v>
                </c:pt>
              </c:numCache>
            </c:numRef>
          </c:val>
          <c:smooth val="0"/>
          <c:extLst>
            <c:ext xmlns:c16="http://schemas.microsoft.com/office/drawing/2014/chart" uri="{C3380CC4-5D6E-409C-BE32-E72D297353CC}">
              <c16:uniqueId val="{00000001-E9C4-424D-BB1D-A50C8679CC6C}"/>
            </c:ext>
          </c:extLst>
        </c:ser>
        <c:ser>
          <c:idx val="2"/>
          <c:order val="2"/>
          <c:tx>
            <c:strRef>
              <c:f>Sheet7!$D$1</c:f>
              <c:strCache>
                <c:ptCount val="1"/>
                <c:pt idx="0">
                  <c:v>Lower Confidence Bound</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Sheet7!$A$2:$A$17</c:f>
              <c:numCache>
                <c:formatCode>m/d/yyyy\ h:mm</c:formatCode>
                <c:ptCount val="16"/>
                <c:pt idx="0">
                  <c:v>43526</c:v>
                </c:pt>
                <c:pt idx="1">
                  <c:v>43527</c:v>
                </c:pt>
                <c:pt idx="2">
                  <c:v>43528</c:v>
                </c:pt>
                <c:pt idx="3">
                  <c:v>43529</c:v>
                </c:pt>
                <c:pt idx="4">
                  <c:v>43530</c:v>
                </c:pt>
                <c:pt idx="5">
                  <c:v>43531</c:v>
                </c:pt>
                <c:pt idx="6">
                  <c:v>43532</c:v>
                </c:pt>
                <c:pt idx="7">
                  <c:v>43533</c:v>
                </c:pt>
                <c:pt idx="8">
                  <c:v>43534</c:v>
                </c:pt>
                <c:pt idx="9">
                  <c:v>43535</c:v>
                </c:pt>
                <c:pt idx="10">
                  <c:v>43536</c:v>
                </c:pt>
                <c:pt idx="11">
                  <c:v>43537</c:v>
                </c:pt>
                <c:pt idx="12">
                  <c:v>43538</c:v>
                </c:pt>
                <c:pt idx="13">
                  <c:v>43539</c:v>
                </c:pt>
                <c:pt idx="14">
                  <c:v>43540</c:v>
                </c:pt>
                <c:pt idx="15">
                  <c:v>43541</c:v>
                </c:pt>
              </c:numCache>
            </c:numRef>
          </c:cat>
          <c:val>
            <c:numRef>
              <c:f>Sheet7!$D$2:$D$17</c:f>
              <c:numCache>
                <c:formatCode>General</c:formatCode>
                <c:ptCount val="16"/>
                <c:pt idx="9" formatCode="0.00">
                  <c:v>266.5</c:v>
                </c:pt>
                <c:pt idx="10" formatCode="0.00">
                  <c:v>215.78393398455066</c:v>
                </c:pt>
                <c:pt idx="11" formatCode="0.00">
                  <c:v>218.552864357023</c:v>
                </c:pt>
                <c:pt idx="12" formatCode="0.00">
                  <c:v>224.64994872137581</c:v>
                </c:pt>
                <c:pt idx="13" formatCode="0.00">
                  <c:v>232.80005829052524</c:v>
                </c:pt>
                <c:pt idx="14" formatCode="0.00">
                  <c:v>242.37862083801664</c:v>
                </c:pt>
                <c:pt idx="15" formatCode="0.00">
                  <c:v>253.02447722538744</c:v>
                </c:pt>
              </c:numCache>
            </c:numRef>
          </c:val>
          <c:smooth val="0"/>
          <c:extLst>
            <c:ext xmlns:c16="http://schemas.microsoft.com/office/drawing/2014/chart" uri="{C3380CC4-5D6E-409C-BE32-E72D297353CC}">
              <c16:uniqueId val="{00000002-E9C4-424D-BB1D-A50C8679CC6C}"/>
            </c:ext>
          </c:extLst>
        </c:ser>
        <c:ser>
          <c:idx val="3"/>
          <c:order val="3"/>
          <c:tx>
            <c:strRef>
              <c:f>Sheet7!$E$1</c:f>
              <c:strCache>
                <c:ptCount val="1"/>
                <c:pt idx="0">
                  <c:v>Upper Confidence Bound</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Sheet7!$A$2:$A$17</c:f>
              <c:numCache>
                <c:formatCode>m/d/yyyy\ h:mm</c:formatCode>
                <c:ptCount val="16"/>
                <c:pt idx="0">
                  <c:v>43526</c:v>
                </c:pt>
                <c:pt idx="1">
                  <c:v>43527</c:v>
                </c:pt>
                <c:pt idx="2">
                  <c:v>43528</c:v>
                </c:pt>
                <c:pt idx="3">
                  <c:v>43529</c:v>
                </c:pt>
                <c:pt idx="4">
                  <c:v>43530</c:v>
                </c:pt>
                <c:pt idx="5">
                  <c:v>43531</c:v>
                </c:pt>
                <c:pt idx="6">
                  <c:v>43532</c:v>
                </c:pt>
                <c:pt idx="7">
                  <c:v>43533</c:v>
                </c:pt>
                <c:pt idx="8">
                  <c:v>43534</c:v>
                </c:pt>
                <c:pt idx="9">
                  <c:v>43535</c:v>
                </c:pt>
                <c:pt idx="10">
                  <c:v>43536</c:v>
                </c:pt>
                <c:pt idx="11">
                  <c:v>43537</c:v>
                </c:pt>
                <c:pt idx="12">
                  <c:v>43538</c:v>
                </c:pt>
                <c:pt idx="13">
                  <c:v>43539</c:v>
                </c:pt>
                <c:pt idx="14">
                  <c:v>43540</c:v>
                </c:pt>
                <c:pt idx="15">
                  <c:v>43541</c:v>
                </c:pt>
              </c:numCache>
            </c:numRef>
          </c:cat>
          <c:val>
            <c:numRef>
              <c:f>Sheet7!$E$2:$E$17</c:f>
              <c:numCache>
                <c:formatCode>General</c:formatCode>
                <c:ptCount val="16"/>
                <c:pt idx="9" formatCode="0.00">
                  <c:v>266.5</c:v>
                </c:pt>
                <c:pt idx="10" formatCode="0.00">
                  <c:v>374.57689997829459</c:v>
                </c:pt>
                <c:pt idx="11" formatCode="0.00">
                  <c:v>417.13938826029124</c:v>
                </c:pt>
                <c:pt idx="12" formatCode="0.00">
                  <c:v>456.37372255040725</c:v>
                </c:pt>
                <c:pt idx="13" formatCode="0.00">
                  <c:v>493.55503163572678</c:v>
                </c:pt>
                <c:pt idx="14" formatCode="0.00">
                  <c:v>529.30788774270422</c:v>
                </c:pt>
                <c:pt idx="15" formatCode="0.00">
                  <c:v>563.99345000980225</c:v>
                </c:pt>
              </c:numCache>
            </c:numRef>
          </c:val>
          <c:smooth val="0"/>
          <c:extLst>
            <c:ext xmlns:c16="http://schemas.microsoft.com/office/drawing/2014/chart" uri="{C3380CC4-5D6E-409C-BE32-E72D297353CC}">
              <c16:uniqueId val="{00000003-E9C4-424D-BB1D-A50C8679CC6C}"/>
            </c:ext>
          </c:extLst>
        </c:ser>
        <c:dLbls>
          <c:showLegendKey val="0"/>
          <c:showVal val="0"/>
          <c:showCatName val="0"/>
          <c:showSerName val="0"/>
          <c:showPercent val="0"/>
          <c:showBubbleSize val="0"/>
        </c:dLbls>
        <c:smooth val="0"/>
        <c:axId val="324404127"/>
        <c:axId val="324407967"/>
      </c:lineChart>
      <c:catAx>
        <c:axId val="324404127"/>
        <c:scaling>
          <c:orientation val="minMax"/>
        </c:scaling>
        <c:delete val="0"/>
        <c:axPos val="b"/>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407967"/>
        <c:crosses val="autoZero"/>
        <c:auto val="1"/>
        <c:lblAlgn val="ctr"/>
        <c:lblOffset val="100"/>
        <c:noMultiLvlLbl val="0"/>
      </c:catAx>
      <c:valAx>
        <c:axId val="32440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404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a:t>Weekly Forecasting for Haryana State  </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9840250073715891E-2"/>
          <c:y val="8.0539899435980236E-2"/>
          <c:w val="0.8745235105484922"/>
          <c:h val="0.49475548290423649"/>
        </c:manualLayout>
      </c:layout>
      <c:lineChart>
        <c:grouping val="standard"/>
        <c:varyColors val="0"/>
        <c:ser>
          <c:idx val="0"/>
          <c:order val="0"/>
          <c:tx>
            <c:strRef>
              <c:f>Sheet8!$B$1</c:f>
              <c:strCache>
                <c:ptCount val="1"/>
                <c:pt idx="0">
                  <c:v>Values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Sheet8!$B$2:$B$16</c:f>
              <c:numCache>
                <c:formatCode>General</c:formatCode>
                <c:ptCount val="15"/>
                <c:pt idx="0">
                  <c:v>116.3</c:v>
                </c:pt>
                <c:pt idx="1">
                  <c:v>123.1</c:v>
                </c:pt>
                <c:pt idx="2">
                  <c:v>124</c:v>
                </c:pt>
                <c:pt idx="3">
                  <c:v>125.6</c:v>
                </c:pt>
                <c:pt idx="4">
                  <c:v>124.7</c:v>
                </c:pt>
                <c:pt idx="5">
                  <c:v>116.3</c:v>
                </c:pt>
                <c:pt idx="6">
                  <c:v>186</c:v>
                </c:pt>
                <c:pt idx="7">
                  <c:v>204.4</c:v>
                </c:pt>
                <c:pt idx="8">
                  <c:v>217</c:v>
                </c:pt>
              </c:numCache>
            </c:numRef>
          </c:val>
          <c:smooth val="0"/>
          <c:extLst>
            <c:ext xmlns:c16="http://schemas.microsoft.com/office/drawing/2014/chart" uri="{C3380CC4-5D6E-409C-BE32-E72D297353CC}">
              <c16:uniqueId val="{00000000-E551-454C-8478-39CB104EAD04}"/>
            </c:ext>
          </c:extLst>
        </c:ser>
        <c:ser>
          <c:idx val="1"/>
          <c:order val="1"/>
          <c:tx>
            <c:strRef>
              <c:f>Sheet8!$C$1</c:f>
              <c:strCache>
                <c:ptCount val="1"/>
                <c:pt idx="0">
                  <c:v>Forecast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Sheet8!$A$2:$A$16</c:f>
              <c:numCache>
                <c:formatCode>m/d/yyyy\ h:mm</c:formatCode>
                <c:ptCount val="15"/>
                <c:pt idx="0">
                  <c:v>43526</c:v>
                </c:pt>
                <c:pt idx="1">
                  <c:v>43527</c:v>
                </c:pt>
                <c:pt idx="2">
                  <c:v>43528</c:v>
                </c:pt>
                <c:pt idx="3">
                  <c:v>43529</c:v>
                </c:pt>
                <c:pt idx="4">
                  <c:v>43530</c:v>
                </c:pt>
                <c:pt idx="5">
                  <c:v>43531</c:v>
                </c:pt>
                <c:pt idx="6">
                  <c:v>43532</c:v>
                </c:pt>
                <c:pt idx="7">
                  <c:v>43533</c:v>
                </c:pt>
                <c:pt idx="8">
                  <c:v>43534</c:v>
                </c:pt>
                <c:pt idx="9">
                  <c:v>43535</c:v>
                </c:pt>
                <c:pt idx="10">
                  <c:v>43536</c:v>
                </c:pt>
                <c:pt idx="11">
                  <c:v>43537</c:v>
                </c:pt>
                <c:pt idx="12">
                  <c:v>43538</c:v>
                </c:pt>
                <c:pt idx="13">
                  <c:v>43539</c:v>
                </c:pt>
                <c:pt idx="14">
                  <c:v>43540</c:v>
                </c:pt>
              </c:numCache>
            </c:numRef>
          </c:cat>
          <c:val>
            <c:numRef>
              <c:f>Sheet8!$C$2:$C$16</c:f>
              <c:numCache>
                <c:formatCode>General</c:formatCode>
                <c:ptCount val="15"/>
                <c:pt idx="8">
                  <c:v>217</c:v>
                </c:pt>
                <c:pt idx="9">
                  <c:v>229.5859357581536</c:v>
                </c:pt>
                <c:pt idx="10">
                  <c:v>242.27511314477925</c:v>
                </c:pt>
                <c:pt idx="11">
                  <c:v>254.96429053140488</c:v>
                </c:pt>
                <c:pt idx="12">
                  <c:v>267.65346791803051</c:v>
                </c:pt>
                <c:pt idx="13">
                  <c:v>280.34264530465617</c:v>
                </c:pt>
                <c:pt idx="14">
                  <c:v>293.03182269128183</c:v>
                </c:pt>
              </c:numCache>
            </c:numRef>
          </c:val>
          <c:smooth val="0"/>
          <c:extLst>
            <c:ext xmlns:c16="http://schemas.microsoft.com/office/drawing/2014/chart" uri="{C3380CC4-5D6E-409C-BE32-E72D297353CC}">
              <c16:uniqueId val="{00000001-E551-454C-8478-39CB104EAD04}"/>
            </c:ext>
          </c:extLst>
        </c:ser>
        <c:ser>
          <c:idx val="2"/>
          <c:order val="2"/>
          <c:tx>
            <c:strRef>
              <c:f>Sheet8!$D$1</c:f>
              <c:strCache>
                <c:ptCount val="1"/>
                <c:pt idx="0">
                  <c:v>Lower Confidence Bound</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Sheet8!$A$2:$A$16</c:f>
              <c:numCache>
                <c:formatCode>m/d/yyyy\ h:mm</c:formatCode>
                <c:ptCount val="15"/>
                <c:pt idx="0">
                  <c:v>43526</c:v>
                </c:pt>
                <c:pt idx="1">
                  <c:v>43527</c:v>
                </c:pt>
                <c:pt idx="2">
                  <c:v>43528</c:v>
                </c:pt>
                <c:pt idx="3">
                  <c:v>43529</c:v>
                </c:pt>
                <c:pt idx="4">
                  <c:v>43530</c:v>
                </c:pt>
                <c:pt idx="5">
                  <c:v>43531</c:v>
                </c:pt>
                <c:pt idx="6">
                  <c:v>43532</c:v>
                </c:pt>
                <c:pt idx="7">
                  <c:v>43533</c:v>
                </c:pt>
                <c:pt idx="8">
                  <c:v>43534</c:v>
                </c:pt>
                <c:pt idx="9">
                  <c:v>43535</c:v>
                </c:pt>
                <c:pt idx="10">
                  <c:v>43536</c:v>
                </c:pt>
                <c:pt idx="11">
                  <c:v>43537</c:v>
                </c:pt>
                <c:pt idx="12">
                  <c:v>43538</c:v>
                </c:pt>
                <c:pt idx="13">
                  <c:v>43539</c:v>
                </c:pt>
                <c:pt idx="14">
                  <c:v>43540</c:v>
                </c:pt>
              </c:numCache>
            </c:numRef>
          </c:cat>
          <c:val>
            <c:numRef>
              <c:f>Sheet8!$D$2:$D$16</c:f>
              <c:numCache>
                <c:formatCode>General</c:formatCode>
                <c:ptCount val="15"/>
                <c:pt idx="8" formatCode="0.00">
                  <c:v>217</c:v>
                </c:pt>
                <c:pt idx="9" formatCode="0.00">
                  <c:v>187.25677612995028</c:v>
                </c:pt>
                <c:pt idx="10" formatCode="0.00">
                  <c:v>185.29872775610619</c:v>
                </c:pt>
                <c:pt idx="11" formatCode="0.00">
                  <c:v>186.37792331226112</c:v>
                </c:pt>
                <c:pt idx="12" formatCode="0.00">
                  <c:v>189.13528424426391</c:v>
                </c:pt>
                <c:pt idx="13" formatCode="0.00">
                  <c:v>192.99644748930515</c:v>
                </c:pt>
                <c:pt idx="14" formatCode="0.00">
                  <c:v>197.65440047853798</c:v>
                </c:pt>
              </c:numCache>
            </c:numRef>
          </c:val>
          <c:smooth val="0"/>
          <c:extLst>
            <c:ext xmlns:c16="http://schemas.microsoft.com/office/drawing/2014/chart" uri="{C3380CC4-5D6E-409C-BE32-E72D297353CC}">
              <c16:uniqueId val="{00000002-E551-454C-8478-39CB104EAD04}"/>
            </c:ext>
          </c:extLst>
        </c:ser>
        <c:ser>
          <c:idx val="3"/>
          <c:order val="3"/>
          <c:tx>
            <c:strRef>
              <c:f>Sheet8!$E$1</c:f>
              <c:strCache>
                <c:ptCount val="1"/>
                <c:pt idx="0">
                  <c:v>Upper Confidence Bound</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Sheet8!$A$2:$A$16</c:f>
              <c:numCache>
                <c:formatCode>m/d/yyyy\ h:mm</c:formatCode>
                <c:ptCount val="15"/>
                <c:pt idx="0">
                  <c:v>43526</c:v>
                </c:pt>
                <c:pt idx="1">
                  <c:v>43527</c:v>
                </c:pt>
                <c:pt idx="2">
                  <c:v>43528</c:v>
                </c:pt>
                <c:pt idx="3">
                  <c:v>43529</c:v>
                </c:pt>
                <c:pt idx="4">
                  <c:v>43530</c:v>
                </c:pt>
                <c:pt idx="5">
                  <c:v>43531</c:v>
                </c:pt>
                <c:pt idx="6">
                  <c:v>43532</c:v>
                </c:pt>
                <c:pt idx="7">
                  <c:v>43533</c:v>
                </c:pt>
                <c:pt idx="8">
                  <c:v>43534</c:v>
                </c:pt>
                <c:pt idx="9">
                  <c:v>43535</c:v>
                </c:pt>
                <c:pt idx="10">
                  <c:v>43536</c:v>
                </c:pt>
                <c:pt idx="11">
                  <c:v>43537</c:v>
                </c:pt>
                <c:pt idx="12">
                  <c:v>43538</c:v>
                </c:pt>
                <c:pt idx="13">
                  <c:v>43539</c:v>
                </c:pt>
                <c:pt idx="14">
                  <c:v>43540</c:v>
                </c:pt>
              </c:numCache>
            </c:numRef>
          </c:cat>
          <c:val>
            <c:numRef>
              <c:f>Sheet8!$E$2:$E$16</c:f>
              <c:numCache>
                <c:formatCode>General</c:formatCode>
                <c:ptCount val="15"/>
                <c:pt idx="8" formatCode="0.00">
                  <c:v>217</c:v>
                </c:pt>
                <c:pt idx="9" formatCode="0.00">
                  <c:v>271.91509538635688</c:v>
                </c:pt>
                <c:pt idx="10" formatCode="0.00">
                  <c:v>299.25149853345232</c:v>
                </c:pt>
                <c:pt idx="11" formatCode="0.00">
                  <c:v>323.55065775054868</c:v>
                </c:pt>
                <c:pt idx="12" formatCode="0.00">
                  <c:v>346.17165159179712</c:v>
                </c:pt>
                <c:pt idx="13" formatCode="0.00">
                  <c:v>367.68884312000716</c:v>
                </c:pt>
                <c:pt idx="14" formatCode="0.00">
                  <c:v>388.40924490402568</c:v>
                </c:pt>
              </c:numCache>
            </c:numRef>
          </c:val>
          <c:smooth val="0"/>
          <c:extLst>
            <c:ext xmlns:c16="http://schemas.microsoft.com/office/drawing/2014/chart" uri="{C3380CC4-5D6E-409C-BE32-E72D297353CC}">
              <c16:uniqueId val="{00000003-E551-454C-8478-39CB104EAD04}"/>
            </c:ext>
          </c:extLst>
        </c:ser>
        <c:dLbls>
          <c:showLegendKey val="0"/>
          <c:showVal val="0"/>
          <c:showCatName val="0"/>
          <c:showSerName val="0"/>
          <c:showPercent val="0"/>
          <c:showBubbleSize val="0"/>
        </c:dLbls>
        <c:smooth val="0"/>
        <c:axId val="2137774207"/>
        <c:axId val="2137768447"/>
      </c:lineChart>
      <c:catAx>
        <c:axId val="2137774207"/>
        <c:scaling>
          <c:orientation val="minMax"/>
        </c:scaling>
        <c:delete val="0"/>
        <c:axPos val="b"/>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768447"/>
        <c:crosses val="autoZero"/>
        <c:auto val="1"/>
        <c:lblAlgn val="ctr"/>
        <c:lblOffset val="100"/>
        <c:noMultiLvlLbl val="0"/>
      </c:catAx>
      <c:valAx>
        <c:axId val="213776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774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83820</xdr:colOff>
      <xdr:row>0</xdr:row>
      <xdr:rowOff>68580</xdr:rowOff>
    </xdr:from>
    <xdr:to>
      <xdr:col>18</xdr:col>
      <xdr:colOff>198120</xdr:colOff>
      <xdr:row>20</xdr:row>
      <xdr:rowOff>129540</xdr:rowOff>
    </xdr:to>
    <xdr:graphicFrame macro="">
      <xdr:nvGraphicFramePr>
        <xdr:cNvPr id="2" name="Chart 1">
          <a:extLst>
            <a:ext uri="{FF2B5EF4-FFF2-40B4-BE49-F238E27FC236}">
              <a16:creationId xmlns:a16="http://schemas.microsoft.com/office/drawing/2014/main" id="{F3419731-AD16-B00E-C897-E191ECE86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99060</xdr:colOff>
      <xdr:row>0</xdr:row>
      <xdr:rowOff>68580</xdr:rowOff>
    </xdr:from>
    <xdr:to>
      <xdr:col>18</xdr:col>
      <xdr:colOff>350520</xdr:colOff>
      <xdr:row>20</xdr:row>
      <xdr:rowOff>106680</xdr:rowOff>
    </xdr:to>
    <xdr:graphicFrame macro="">
      <xdr:nvGraphicFramePr>
        <xdr:cNvPr id="2" name="Chart 1">
          <a:extLst>
            <a:ext uri="{FF2B5EF4-FFF2-40B4-BE49-F238E27FC236}">
              <a16:creationId xmlns:a16="http://schemas.microsoft.com/office/drawing/2014/main" id="{D1AA5192-5507-6DC9-CF52-FAF80C735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83820</xdr:colOff>
      <xdr:row>0</xdr:row>
      <xdr:rowOff>45720</xdr:rowOff>
    </xdr:from>
    <xdr:to>
      <xdr:col>18</xdr:col>
      <xdr:colOff>213360</xdr:colOff>
      <xdr:row>15</xdr:row>
      <xdr:rowOff>45720</xdr:rowOff>
    </xdr:to>
    <xdr:graphicFrame macro="">
      <xdr:nvGraphicFramePr>
        <xdr:cNvPr id="9" name="Chart 8">
          <a:extLst>
            <a:ext uri="{FF2B5EF4-FFF2-40B4-BE49-F238E27FC236}">
              <a16:creationId xmlns:a16="http://schemas.microsoft.com/office/drawing/2014/main" id="{D1AFBF1A-E2C1-E3C0-0807-A35D442BA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22860</xdr:colOff>
      <xdr:row>22</xdr:row>
      <xdr:rowOff>53340</xdr:rowOff>
    </xdr:from>
    <xdr:to>
      <xdr:col>5</xdr:col>
      <xdr:colOff>990600</xdr:colOff>
      <xdr:row>35</xdr:row>
      <xdr:rowOff>142875</xdr:rowOff>
    </xdr:to>
    <mc:AlternateContent xmlns:mc="http://schemas.openxmlformats.org/markup-compatibility/2006">
      <mc:Choice xmlns:a14="http://schemas.microsoft.com/office/drawing/2010/main" Requires="a14">
        <xdr:graphicFrame macro="">
          <xdr:nvGraphicFramePr>
            <xdr:cNvPr id="10" name="States 1">
              <a:extLst>
                <a:ext uri="{FF2B5EF4-FFF2-40B4-BE49-F238E27FC236}">
                  <a16:creationId xmlns:a16="http://schemas.microsoft.com/office/drawing/2014/main" id="{A99E58FC-804E-E61A-393F-E8D8D806B67C}"/>
                </a:ext>
              </a:extLst>
            </xdr:cNvPr>
            <xdr:cNvGraphicFramePr/>
          </xdr:nvGraphicFramePr>
          <xdr:xfrm>
            <a:off x="0" y="0"/>
            <a:ext cx="0" cy="0"/>
          </xdr:xfrm>
          <a:graphic>
            <a:graphicData uri="http://schemas.microsoft.com/office/drawing/2010/slicer">
              <sle:slicer xmlns:sle="http://schemas.microsoft.com/office/drawing/2010/slicer" name="States 1"/>
            </a:graphicData>
          </a:graphic>
        </xdr:graphicFrame>
      </mc:Choice>
      <mc:Fallback>
        <xdr:sp macro="" textlink="">
          <xdr:nvSpPr>
            <xdr:cNvPr id="0" name=""/>
            <xdr:cNvSpPr>
              <a:spLocks noTextEdit="1"/>
            </xdr:cNvSpPr>
          </xdr:nvSpPr>
          <xdr:spPr>
            <a:xfrm>
              <a:off x="3688080" y="4076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36989</xdr:colOff>
      <xdr:row>0</xdr:row>
      <xdr:rowOff>110971</xdr:rowOff>
    </xdr:from>
    <xdr:to>
      <xdr:col>22</xdr:col>
      <xdr:colOff>179798</xdr:colOff>
      <xdr:row>32</xdr:row>
      <xdr:rowOff>119865</xdr:rowOff>
    </xdr:to>
    <xdr:sp macro="" textlink="">
      <xdr:nvSpPr>
        <xdr:cNvPr id="2" name="Rectangle 1">
          <a:extLst>
            <a:ext uri="{FF2B5EF4-FFF2-40B4-BE49-F238E27FC236}">
              <a16:creationId xmlns:a16="http://schemas.microsoft.com/office/drawing/2014/main" id="{0FDDFBE8-A1ED-00CC-59E4-BE3F1289F78A}"/>
            </a:ext>
          </a:extLst>
        </xdr:cNvPr>
        <xdr:cNvSpPr/>
      </xdr:nvSpPr>
      <xdr:spPr>
        <a:xfrm>
          <a:off x="644877" y="110971"/>
          <a:ext cx="12908449" cy="5762422"/>
        </a:xfrm>
        <a:prstGeom prst="rect">
          <a:avLst/>
        </a:prstGeom>
        <a:solidFill>
          <a:schemeClr val="accent5">
            <a:lumMod val="20000"/>
            <a:lumOff val="8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236738</xdr:colOff>
      <xdr:row>1</xdr:row>
      <xdr:rowOff>38100</xdr:rowOff>
    </xdr:from>
    <xdr:to>
      <xdr:col>21</xdr:col>
      <xdr:colOff>548640</xdr:colOff>
      <xdr:row>3</xdr:row>
      <xdr:rowOff>137160</xdr:rowOff>
    </xdr:to>
    <xdr:sp macro="" textlink="">
      <xdr:nvSpPr>
        <xdr:cNvPr id="3" name="Rectangle 2">
          <a:extLst>
            <a:ext uri="{FF2B5EF4-FFF2-40B4-BE49-F238E27FC236}">
              <a16:creationId xmlns:a16="http://schemas.microsoft.com/office/drawing/2014/main" id="{F1B91955-775B-8AE8-9526-E900DCE50699}"/>
            </a:ext>
          </a:extLst>
        </xdr:cNvPr>
        <xdr:cNvSpPr/>
      </xdr:nvSpPr>
      <xdr:spPr>
        <a:xfrm>
          <a:off x="843379" y="223051"/>
          <a:ext cx="12444717" cy="468963"/>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latin typeface="Segoe UI Semibold" panose="020B0702040204020203" pitchFamily="34" charset="0"/>
              <a:cs typeface="Segoe UI Semibold" panose="020B0702040204020203" pitchFamily="34" charset="0"/>
            </a:rPr>
            <a:t>ELECTRICITY DEMAND FORECASTING</a:t>
          </a:r>
          <a:endParaRPr lang="en-IN" sz="1100" b="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4</xdr:col>
      <xdr:colOff>23600</xdr:colOff>
      <xdr:row>4</xdr:row>
      <xdr:rowOff>53339</xdr:rowOff>
    </xdr:from>
    <xdr:to>
      <xdr:col>8</xdr:col>
      <xdr:colOff>347709</xdr:colOff>
      <xdr:row>15</xdr:row>
      <xdr:rowOff>184950</xdr:rowOff>
    </xdr:to>
    <xdr:graphicFrame macro="">
      <xdr:nvGraphicFramePr>
        <xdr:cNvPr id="5" name="Chart 4">
          <a:extLst>
            <a:ext uri="{FF2B5EF4-FFF2-40B4-BE49-F238E27FC236}">
              <a16:creationId xmlns:a16="http://schemas.microsoft.com/office/drawing/2014/main" id="{15D76D0F-36BD-8300-C45A-FA83A2E93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281126</xdr:colOff>
      <xdr:row>16</xdr:row>
      <xdr:rowOff>97285</xdr:rowOff>
    </xdr:from>
    <xdr:to>
      <xdr:col>3</xdr:col>
      <xdr:colOff>457200</xdr:colOff>
      <xdr:row>25</xdr:row>
      <xdr:rowOff>89664</xdr:rowOff>
    </xdr:to>
    <mc:AlternateContent xmlns:mc="http://schemas.openxmlformats.org/markup-compatibility/2006">
      <mc:Choice xmlns:a14="http://schemas.microsoft.com/office/drawing/2010/main" Requires="a14">
        <xdr:graphicFrame macro="">
          <xdr:nvGraphicFramePr>
            <xdr:cNvPr id="6" name="States">
              <a:extLst>
                <a:ext uri="{FF2B5EF4-FFF2-40B4-BE49-F238E27FC236}">
                  <a16:creationId xmlns:a16="http://schemas.microsoft.com/office/drawing/2014/main" id="{AA713C09-BF8B-4C25-B6E8-5684C0C41B9B}"/>
                </a:ext>
              </a:extLst>
            </xdr:cNvPr>
            <xdr:cNvGraphicFramePr/>
          </xdr:nvGraphicFramePr>
          <xdr:xfrm>
            <a:off x="0" y="0"/>
            <a:ext cx="0" cy="0"/>
          </xdr:xfrm>
          <a:graphic>
            <a:graphicData uri="http://schemas.microsoft.com/office/drawing/2010/slicer">
              <sle:slicer xmlns:sle="http://schemas.microsoft.com/office/drawing/2010/slicer" name="States"/>
            </a:graphicData>
          </a:graphic>
        </xdr:graphicFrame>
      </mc:Choice>
      <mc:Fallback>
        <xdr:sp macro="" textlink="">
          <xdr:nvSpPr>
            <xdr:cNvPr id="0" name=""/>
            <xdr:cNvSpPr>
              <a:spLocks noTextEdit="1"/>
            </xdr:cNvSpPr>
          </xdr:nvSpPr>
          <xdr:spPr>
            <a:xfrm>
              <a:off x="889261" y="3028054"/>
              <a:ext cx="1392343" cy="1640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274320</xdr:colOff>
      <xdr:row>4</xdr:row>
      <xdr:rowOff>45720</xdr:rowOff>
    </xdr:from>
    <xdr:to>
      <xdr:col>3</xdr:col>
      <xdr:colOff>510540</xdr:colOff>
      <xdr:row>7</xdr:row>
      <xdr:rowOff>83820</xdr:rowOff>
    </xdr:to>
    <xdr:sp macro="" textlink="">
      <xdr:nvSpPr>
        <xdr:cNvPr id="7" name="Rectangle: Rounded Corners 6">
          <a:extLst>
            <a:ext uri="{FF2B5EF4-FFF2-40B4-BE49-F238E27FC236}">
              <a16:creationId xmlns:a16="http://schemas.microsoft.com/office/drawing/2014/main" id="{96BA46D4-9990-14CE-41B4-40D5463C937B}"/>
            </a:ext>
          </a:extLst>
        </xdr:cNvPr>
        <xdr:cNvSpPr/>
      </xdr:nvSpPr>
      <xdr:spPr>
        <a:xfrm>
          <a:off x="883920" y="777240"/>
          <a:ext cx="1455420" cy="58674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129540</xdr:colOff>
      <xdr:row>5</xdr:row>
      <xdr:rowOff>121920</xdr:rowOff>
    </xdr:from>
    <xdr:to>
      <xdr:col>3</xdr:col>
      <xdr:colOff>579120</xdr:colOff>
      <xdr:row>6</xdr:row>
      <xdr:rowOff>167640</xdr:rowOff>
    </xdr:to>
    <xdr:sp macro="" textlink="'analysis and chart'!A16">
      <xdr:nvSpPr>
        <xdr:cNvPr id="8" name="TextBox 7">
          <a:extLst>
            <a:ext uri="{FF2B5EF4-FFF2-40B4-BE49-F238E27FC236}">
              <a16:creationId xmlns:a16="http://schemas.microsoft.com/office/drawing/2014/main" id="{164D56ED-B315-2F44-B76C-14A08567F76C}"/>
            </a:ext>
          </a:extLst>
        </xdr:cNvPr>
        <xdr:cNvSpPr txBox="1"/>
      </xdr:nvSpPr>
      <xdr:spPr>
        <a:xfrm>
          <a:off x="1348740" y="1036320"/>
          <a:ext cx="10591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FBA9F3-B9C4-4EA8-93EC-28C6A86723AE}" type="TxLink">
            <a:rPr lang="en-US" sz="1200" b="1" i="0" u="none" strike="noStrike">
              <a:solidFill>
                <a:srgbClr val="000000"/>
              </a:solidFill>
              <a:latin typeface="Segoe UI Semibold" panose="020B0702040204020203" pitchFamily="34" charset="0"/>
              <a:ea typeface="Calibri"/>
              <a:cs typeface="Segoe UI Semibold" panose="020B0702040204020203" pitchFamily="34" charset="0"/>
            </a:rPr>
            <a:t>452.6</a:t>
          </a:fld>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xdr:col>
      <xdr:colOff>502920</xdr:colOff>
      <xdr:row>4</xdr:row>
      <xdr:rowOff>45720</xdr:rowOff>
    </xdr:from>
    <xdr:to>
      <xdr:col>4</xdr:col>
      <xdr:colOff>38100</xdr:colOff>
      <xdr:row>5</xdr:row>
      <xdr:rowOff>76200</xdr:rowOff>
    </xdr:to>
    <xdr:sp macro="" textlink="">
      <xdr:nvSpPr>
        <xdr:cNvPr id="9" name="TextBox 8">
          <a:extLst>
            <a:ext uri="{FF2B5EF4-FFF2-40B4-BE49-F238E27FC236}">
              <a16:creationId xmlns:a16="http://schemas.microsoft.com/office/drawing/2014/main" id="{C31BB1D4-18DE-0329-E944-5B57EEF9B8C9}"/>
            </a:ext>
          </a:extLst>
        </xdr:cNvPr>
        <xdr:cNvSpPr txBox="1"/>
      </xdr:nvSpPr>
      <xdr:spPr>
        <a:xfrm>
          <a:off x="1112520" y="777240"/>
          <a:ext cx="13639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Peak Demand</a:t>
          </a:r>
        </a:p>
      </xdr:txBody>
    </xdr:sp>
    <xdr:clientData/>
  </xdr:twoCellAnchor>
  <xdr:twoCellAnchor>
    <xdr:from>
      <xdr:col>1</xdr:col>
      <xdr:colOff>274320</xdr:colOff>
      <xdr:row>8</xdr:row>
      <xdr:rowOff>76200</xdr:rowOff>
    </xdr:from>
    <xdr:to>
      <xdr:col>3</xdr:col>
      <xdr:colOff>510540</xdr:colOff>
      <xdr:row>11</xdr:row>
      <xdr:rowOff>114300</xdr:rowOff>
    </xdr:to>
    <xdr:sp macro="" textlink="">
      <xdr:nvSpPr>
        <xdr:cNvPr id="10" name="Rectangle: Rounded Corners 9">
          <a:extLst>
            <a:ext uri="{FF2B5EF4-FFF2-40B4-BE49-F238E27FC236}">
              <a16:creationId xmlns:a16="http://schemas.microsoft.com/office/drawing/2014/main" id="{B502BBD0-2B48-4743-A5B7-B49F09ADFBCF}"/>
            </a:ext>
          </a:extLst>
        </xdr:cNvPr>
        <xdr:cNvSpPr/>
      </xdr:nvSpPr>
      <xdr:spPr>
        <a:xfrm>
          <a:off x="883920" y="1539240"/>
          <a:ext cx="1455420" cy="58674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106680</xdr:colOff>
      <xdr:row>9</xdr:row>
      <xdr:rowOff>152400</xdr:rowOff>
    </xdr:from>
    <xdr:to>
      <xdr:col>3</xdr:col>
      <xdr:colOff>556260</xdr:colOff>
      <xdr:row>11</xdr:row>
      <xdr:rowOff>15240</xdr:rowOff>
    </xdr:to>
    <xdr:sp macro="" textlink="'analysis and chart'!B16">
      <xdr:nvSpPr>
        <xdr:cNvPr id="11" name="TextBox 10">
          <a:extLst>
            <a:ext uri="{FF2B5EF4-FFF2-40B4-BE49-F238E27FC236}">
              <a16:creationId xmlns:a16="http://schemas.microsoft.com/office/drawing/2014/main" id="{60C7235B-4FBE-4697-B31E-6A62D236AA27}"/>
            </a:ext>
          </a:extLst>
        </xdr:cNvPr>
        <xdr:cNvSpPr txBox="1"/>
      </xdr:nvSpPr>
      <xdr:spPr>
        <a:xfrm>
          <a:off x="1325880" y="1798320"/>
          <a:ext cx="10591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66E70F-8847-44F8-875D-A5A7F59779AD}" type="TxLink">
            <a:rPr lang="en-US" sz="1200" b="1" i="0" u="none" strike="noStrike">
              <a:solidFill>
                <a:srgbClr val="000000"/>
              </a:solidFill>
              <a:latin typeface="Calibri"/>
              <a:ea typeface="Calibri"/>
              <a:cs typeface="Calibri"/>
            </a:rPr>
            <a:t>44.1</a:t>
          </a:fld>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xdr:col>
      <xdr:colOff>480060</xdr:colOff>
      <xdr:row>8</xdr:row>
      <xdr:rowOff>76200</xdr:rowOff>
    </xdr:from>
    <xdr:to>
      <xdr:col>4</xdr:col>
      <xdr:colOff>15240</xdr:colOff>
      <xdr:row>9</xdr:row>
      <xdr:rowOff>106680</xdr:rowOff>
    </xdr:to>
    <xdr:sp macro="" textlink="">
      <xdr:nvSpPr>
        <xdr:cNvPr id="12" name="TextBox 11">
          <a:extLst>
            <a:ext uri="{FF2B5EF4-FFF2-40B4-BE49-F238E27FC236}">
              <a16:creationId xmlns:a16="http://schemas.microsoft.com/office/drawing/2014/main" id="{2C529158-BF73-4B78-8443-BEBF7CDFB542}"/>
            </a:ext>
          </a:extLst>
        </xdr:cNvPr>
        <xdr:cNvSpPr txBox="1"/>
      </xdr:nvSpPr>
      <xdr:spPr>
        <a:xfrm>
          <a:off x="1089660" y="1539240"/>
          <a:ext cx="13639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Min Demand</a:t>
          </a:r>
        </a:p>
      </xdr:txBody>
    </xdr:sp>
    <xdr:clientData/>
  </xdr:twoCellAnchor>
  <xdr:twoCellAnchor>
    <xdr:from>
      <xdr:col>1</xdr:col>
      <xdr:colOff>274320</xdr:colOff>
      <xdr:row>12</xdr:row>
      <xdr:rowOff>121920</xdr:rowOff>
    </xdr:from>
    <xdr:to>
      <xdr:col>3</xdr:col>
      <xdr:colOff>510540</xdr:colOff>
      <xdr:row>15</xdr:row>
      <xdr:rowOff>160020</xdr:rowOff>
    </xdr:to>
    <xdr:sp macro="" textlink="">
      <xdr:nvSpPr>
        <xdr:cNvPr id="13" name="Rectangle: Rounded Corners 12">
          <a:extLst>
            <a:ext uri="{FF2B5EF4-FFF2-40B4-BE49-F238E27FC236}">
              <a16:creationId xmlns:a16="http://schemas.microsoft.com/office/drawing/2014/main" id="{53046DB8-0580-4C3B-AC2F-5FDEF8C04932}"/>
            </a:ext>
          </a:extLst>
        </xdr:cNvPr>
        <xdr:cNvSpPr/>
      </xdr:nvSpPr>
      <xdr:spPr>
        <a:xfrm>
          <a:off x="883920" y="2316480"/>
          <a:ext cx="1455420" cy="58674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129540</xdr:colOff>
      <xdr:row>14</xdr:row>
      <xdr:rowOff>15240</xdr:rowOff>
    </xdr:from>
    <xdr:to>
      <xdr:col>3</xdr:col>
      <xdr:colOff>579120</xdr:colOff>
      <xdr:row>15</xdr:row>
      <xdr:rowOff>60960</xdr:rowOff>
    </xdr:to>
    <xdr:sp macro="" textlink="'analysis and chart'!C16">
      <xdr:nvSpPr>
        <xdr:cNvPr id="14" name="TextBox 13">
          <a:extLst>
            <a:ext uri="{FF2B5EF4-FFF2-40B4-BE49-F238E27FC236}">
              <a16:creationId xmlns:a16="http://schemas.microsoft.com/office/drawing/2014/main" id="{440F5214-39F9-45FC-A967-6E2B8E7DAF7A}"/>
            </a:ext>
          </a:extLst>
        </xdr:cNvPr>
        <xdr:cNvSpPr txBox="1"/>
      </xdr:nvSpPr>
      <xdr:spPr>
        <a:xfrm>
          <a:off x="1348740" y="2575560"/>
          <a:ext cx="10591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D52774-CA5C-4D9E-84CC-C0127D640328}" type="TxLink">
            <a:rPr lang="en-US" sz="1200" b="1" i="0" u="none" strike="noStrike">
              <a:solidFill>
                <a:srgbClr val="000000"/>
              </a:solidFill>
              <a:latin typeface="Segoe UI Semibold" panose="020B0702040204020203" pitchFamily="34" charset="0"/>
              <a:ea typeface="Calibri"/>
              <a:cs typeface="Segoe UI Semibold" panose="020B0702040204020203" pitchFamily="34" charset="0"/>
            </a:rPr>
            <a:t>180.28</a:t>
          </a:fld>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xdr:col>
      <xdr:colOff>502920</xdr:colOff>
      <xdr:row>12</xdr:row>
      <xdr:rowOff>121920</xdr:rowOff>
    </xdr:from>
    <xdr:to>
      <xdr:col>4</xdr:col>
      <xdr:colOff>38100</xdr:colOff>
      <xdr:row>14</xdr:row>
      <xdr:rowOff>43962</xdr:rowOff>
    </xdr:to>
    <xdr:sp macro="" textlink="">
      <xdr:nvSpPr>
        <xdr:cNvPr id="15" name="TextBox 14">
          <a:extLst>
            <a:ext uri="{FF2B5EF4-FFF2-40B4-BE49-F238E27FC236}">
              <a16:creationId xmlns:a16="http://schemas.microsoft.com/office/drawing/2014/main" id="{C70898B3-12B5-4B49-B23C-EC6A7DFC0E25}"/>
            </a:ext>
          </a:extLst>
        </xdr:cNvPr>
        <xdr:cNvSpPr txBox="1"/>
      </xdr:nvSpPr>
      <xdr:spPr>
        <a:xfrm>
          <a:off x="1111055" y="2319997"/>
          <a:ext cx="1359583" cy="288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Avg </a:t>
          </a:r>
          <a:r>
            <a:rPr lang="en-IN" sz="1100" b="1">
              <a:latin typeface="Segoe UI Semibold" panose="020B0702040204020203" pitchFamily="34" charset="0"/>
              <a:cs typeface="Segoe UI Semibold" panose="020B0702040204020203" pitchFamily="34" charset="0"/>
            </a:rPr>
            <a:t>Demand</a:t>
          </a:r>
        </a:p>
      </xdr:txBody>
    </xdr:sp>
    <xdr:clientData/>
  </xdr:twoCellAnchor>
  <xdr:twoCellAnchor>
    <xdr:from>
      <xdr:col>4</xdr:col>
      <xdr:colOff>15534</xdr:colOff>
      <xdr:row>16</xdr:row>
      <xdr:rowOff>163867</xdr:rowOff>
    </xdr:from>
    <xdr:to>
      <xdr:col>8</xdr:col>
      <xdr:colOff>347708</xdr:colOff>
      <xdr:row>31</xdr:row>
      <xdr:rowOff>179107</xdr:rowOff>
    </xdr:to>
    <xdr:graphicFrame macro="">
      <xdr:nvGraphicFramePr>
        <xdr:cNvPr id="16" name="Chart 15">
          <a:extLst>
            <a:ext uri="{FF2B5EF4-FFF2-40B4-BE49-F238E27FC236}">
              <a16:creationId xmlns:a16="http://schemas.microsoft.com/office/drawing/2014/main" id="{FF3231E0-2C56-69B6-0072-D0CF972A5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266330</xdr:colOff>
      <xdr:row>26</xdr:row>
      <xdr:rowOff>34475</xdr:rowOff>
    </xdr:from>
    <xdr:to>
      <xdr:col>3</xdr:col>
      <xdr:colOff>464820</xdr:colOff>
      <xdr:row>32</xdr:row>
      <xdr:rowOff>59407</xdr:rowOff>
    </xdr:to>
    <mc:AlternateContent xmlns:mc="http://schemas.openxmlformats.org/markup-compatibility/2006">
      <mc:Choice xmlns:a14="http://schemas.microsoft.com/office/drawing/2010/main" Requires="a14">
        <xdr:graphicFrame macro="">
          <xdr:nvGraphicFramePr>
            <xdr:cNvPr id="17" name="Months (Date)">
              <a:extLst>
                <a:ext uri="{FF2B5EF4-FFF2-40B4-BE49-F238E27FC236}">
                  <a16:creationId xmlns:a16="http://schemas.microsoft.com/office/drawing/2014/main" id="{37A78A1A-818A-4CA9-9C94-8B9B2D2F758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874465" y="4796975"/>
              <a:ext cx="1414759" cy="1123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547457</xdr:colOff>
      <xdr:row>4</xdr:row>
      <xdr:rowOff>19457</xdr:rowOff>
    </xdr:from>
    <xdr:to>
      <xdr:col>21</xdr:col>
      <xdr:colOff>540058</xdr:colOff>
      <xdr:row>17</xdr:row>
      <xdr:rowOff>103573</xdr:rowOff>
    </xdr:to>
    <xdr:graphicFrame macro="">
      <xdr:nvGraphicFramePr>
        <xdr:cNvPr id="19" name="Chart 18">
          <a:extLst>
            <a:ext uri="{FF2B5EF4-FFF2-40B4-BE49-F238E27FC236}">
              <a16:creationId xmlns:a16="http://schemas.microsoft.com/office/drawing/2014/main" id="{2F18B9C9-B7A2-4673-90B0-8B7B87E56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562253</xdr:colOff>
      <xdr:row>18</xdr:row>
      <xdr:rowOff>29592</xdr:rowOff>
    </xdr:from>
    <xdr:to>
      <xdr:col>21</xdr:col>
      <xdr:colOff>547457</xdr:colOff>
      <xdr:row>31</xdr:row>
      <xdr:rowOff>88777</xdr:rowOff>
    </xdr:to>
    <xdr:graphicFrame macro="">
      <xdr:nvGraphicFramePr>
        <xdr:cNvPr id="21" name="Chart 20">
          <a:extLst>
            <a:ext uri="{FF2B5EF4-FFF2-40B4-BE49-F238E27FC236}">
              <a16:creationId xmlns:a16="http://schemas.microsoft.com/office/drawing/2014/main" id="{7C134F71-868F-45C5-8846-DA1DAE4B6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NE VAISHNAVI" refreshedDate="46129.520256018521" createdVersion="8" refreshedVersion="8" minRefreshableVersion="3" recordCount="89" xr:uid="{6450A2BE-2BB7-43F4-A78D-5E5AE980D5E0}">
  <cacheSource type="worksheet">
    <worksheetSource name="data"/>
  </cacheSource>
  <cacheFields count="8">
    <cacheField name="Date" numFmtId="22">
      <sharedItems containsSemiMixedTypes="0" containsNonDate="0" containsDate="1" containsString="0" minDate="2019-03-02T00:00:00" maxDate="2019-06-01T00:00:00" count="89">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sharedItems>
      <fieldGroup par="7"/>
    </cacheField>
    <cacheField name="Punjab" numFmtId="0">
      <sharedItems containsSemiMixedTypes="0" containsString="0" containsNumber="1" minValue="57.6" maxValue="286" count="84">
        <n v="102.9"/>
        <n v="104.2"/>
        <n v="106.9"/>
        <n v="111.2"/>
        <n v="111.6"/>
        <n v="106.1"/>
        <n v="245.8"/>
        <n v="256.7"/>
        <n v="265.3"/>
        <n v="266.5"/>
        <n v="257.89999999999998"/>
        <n v="260.3"/>
        <n v="233.4"/>
        <n v="87.5"/>
        <n v="81.5"/>
        <n v="89.6"/>
        <n v="96.5"/>
        <n v="103.4"/>
        <n v="109"/>
        <n v="101.7"/>
        <n v="100.3"/>
        <n v="98"/>
        <n v="99.4"/>
        <n v="102.8"/>
        <n v="101.4"/>
        <n v="92.9"/>
        <n v="118.3"/>
        <n v="123.5"/>
        <n v="126.9"/>
        <n v="129.80000000000001"/>
        <n v="131.5"/>
        <n v="130.80000000000001"/>
        <n v="121.4"/>
        <n v="101.8"/>
        <n v="101.6"/>
        <n v="106.8"/>
        <n v="105.9"/>
        <n v="93.1"/>
        <n v="249.8"/>
        <n v="250.6"/>
        <n v="274.10000000000002"/>
        <n v="269.39999999999998"/>
        <n v="282.7"/>
        <n v="281.5"/>
        <n v="286"/>
        <n v="121.8"/>
        <n v="124.8"/>
        <n v="124.9"/>
        <n v="113"/>
        <n v="96.9"/>
        <n v="97.8"/>
        <n v="112.8"/>
        <n v="118.6"/>
        <n v="121.2"/>
        <n v="123.3"/>
        <n v="120.9"/>
        <n v="122.1"/>
        <n v="113.8"/>
        <n v="213.9"/>
        <n v="220.3"/>
        <n v="222.9"/>
        <n v="219.3"/>
        <n v="197.7"/>
        <n v="165.1"/>
        <n v="122.6"/>
        <n v="245.9"/>
        <n v="253.7"/>
        <n v="264.8"/>
        <n v="229.6"/>
        <n v="220.4"/>
        <n v="206.3"/>
        <n v="210.9"/>
        <n v="129"/>
        <n v="108.6"/>
        <n v="126.4"/>
        <n v="132.69999999999999"/>
        <n v="133.30000000000001"/>
        <n v="126.3"/>
        <n v="86.3"/>
        <n v="74.7"/>
        <n v="69.599999999999994"/>
        <n v="63.1"/>
        <n v="66.900000000000006"/>
        <n v="57.6"/>
      </sharedItems>
    </cacheField>
    <cacheField name="Haryana" numFmtId="0">
      <sharedItems containsSemiMixedTypes="0" containsString="0" containsNumber="1" minValue="65.900000000000006" maxValue="224.5" count="83">
        <n v="116.3"/>
        <n v="123.1"/>
        <n v="124"/>
        <n v="125.6"/>
        <n v="124.7"/>
        <n v="186"/>
        <n v="204.4"/>
        <n v="217"/>
        <n v="214.8"/>
        <n v="214"/>
        <n v="218.3"/>
        <n v="194.6"/>
        <n v="87.9"/>
        <n v="86.6"/>
        <n v="93.4"/>
        <n v="102.4"/>
        <n v="108.4"/>
        <n v="114.4"/>
        <n v="112.5"/>
        <n v="114.5"/>
        <n v="114.2"/>
        <n v="108.2"/>
        <n v="100.3"/>
        <n v="109.9"/>
        <n v="108.5"/>
        <n v="97.7"/>
        <n v="117.7"/>
        <n v="123.4"/>
        <n v="124.6"/>
        <n v="126.3"/>
        <n v="129.4"/>
        <n v="127.6"/>
        <n v="113.9"/>
        <n v="117.4"/>
        <n v="117.2"/>
        <n v="123.7"/>
        <n v="111.9"/>
        <n v="95"/>
        <n v="197.7"/>
        <n v="209.8"/>
        <n v="219.4"/>
        <n v="219.1"/>
        <n v="219.7"/>
        <n v="224.5"/>
        <n v="211.8"/>
        <n v="120.5"/>
        <n v="124.8"/>
        <n v="123"/>
        <n v="108"/>
        <n v="94.5"/>
        <n v="125.5"/>
        <n v="131.1"/>
        <n v="132.1"/>
        <n v="134.5"/>
        <n v="133.6"/>
        <n v="133"/>
        <n v="179.6"/>
        <n v="186.1"/>
        <n v="185.6"/>
        <n v="184.2"/>
        <n v="179.5"/>
        <n v="169.3"/>
        <n v="143"/>
        <n v="194.3"/>
        <n v="211.3"/>
        <n v="208.1"/>
        <n v="183.2"/>
        <n v="177.2"/>
        <n v="157.80000000000001"/>
        <n v="153.9"/>
        <n v="128.19999999999999"/>
        <n v="138.6"/>
        <n v="141.69999999999999"/>
        <n v="144.5"/>
        <n v="146.69999999999999"/>
        <n v="143.30000000000001"/>
        <n v="132.9"/>
        <n v="93"/>
        <n v="92"/>
        <n v="85.9"/>
        <n v="76.7"/>
        <n v="74.7"/>
        <n v="65.900000000000006"/>
      </sharedItems>
    </cacheField>
    <cacheField name="Rajasthan" numFmtId="0">
      <sharedItems containsSemiMixedTypes="0" containsString="0" containsNumber="1" minValue="105.8" maxValue="256.8" count="85">
        <n v="240.6"/>
        <n v="240.9"/>
        <n v="243.6"/>
        <n v="243.7"/>
        <n v="242.5"/>
        <n v="229.7"/>
        <n v="232.4"/>
        <n v="221"/>
        <n v="217.3"/>
        <n v="212.7"/>
        <n v="214.6"/>
        <n v="203.9"/>
        <n v="164"/>
        <n v="165.4"/>
        <n v="180.1"/>
        <n v="188.8"/>
        <n v="190.9"/>
        <n v="198.4"/>
        <n v="206.6"/>
        <n v="216.7"/>
        <n v="214.5"/>
        <n v="218.6"/>
        <n v="213"/>
        <n v="212.3"/>
        <n v="213.3"/>
        <n v="210.3"/>
        <n v="209.5"/>
        <n v="216.3"/>
        <n v="215.4"/>
        <n v="214.8"/>
        <n v="222.9"/>
        <n v="220.4"/>
        <n v="217.5"/>
        <n v="228.8"/>
        <n v="222.5"/>
        <n v="231.3"/>
        <n v="223.6"/>
        <n v="212"/>
        <n v="242.9"/>
        <n v="248.5"/>
        <n v="249.5"/>
        <n v="254.7"/>
        <n v="255.7"/>
        <n v="246.4"/>
        <n v="242.6"/>
        <n v="244.8"/>
        <n v="245.1"/>
        <n v="245.7"/>
        <n v="246.2"/>
        <n v="236"/>
        <n v="230.1"/>
        <n v="232.5"/>
        <n v="232.8"/>
        <n v="235.6"/>
        <n v="232.7"/>
        <n v="235"/>
        <n v="234.6"/>
        <n v="231"/>
        <n v="225.8"/>
        <n v="228.5"/>
        <n v="225"/>
        <n v="226.6"/>
        <n v="222"/>
        <n v="210.8"/>
        <n v="197.9"/>
        <n v="242.2"/>
        <n v="251.4"/>
        <n v="256.8"/>
        <n v="219.3"/>
        <n v="218.3"/>
        <n v="198.7"/>
        <n v="159.30000000000001"/>
        <n v="205.5"/>
        <n v="216.8"/>
        <n v="221.1"/>
        <n v="226.7"/>
        <n v="226.5"/>
        <n v="228.3"/>
        <n v="224.7"/>
        <n v="178.7"/>
        <n v="171.9"/>
        <n v="171.4"/>
        <n v="161.19999999999999"/>
        <n v="127.9"/>
        <n v="105.8"/>
      </sharedItems>
    </cacheField>
    <cacheField name="Delhi" numFmtId="0">
      <sharedItems containsSemiMixedTypes="0" containsString="0" containsNumber="1" minValue="44.1" maxValue="136.69999999999999" count="79">
        <n v="72.099999999999994"/>
        <n v="71.8"/>
        <n v="71.099999999999994"/>
        <n v="73"/>
        <n v="68"/>
        <n v="67.3"/>
        <n v="111.7"/>
        <n v="121.6"/>
        <n v="128"/>
        <n v="132.69999999999999"/>
        <n v="132.6"/>
        <n v="129.69999999999999"/>
        <n v="113.9"/>
        <n v="57.8"/>
        <n v="51.2"/>
        <n v="58.4"/>
        <n v="63"/>
        <n v="66.099999999999994"/>
        <n v="69.599999999999994"/>
        <n v="68.3"/>
        <n v="62.5"/>
        <n v="63.5"/>
        <n v="62.6"/>
        <n v="62.4"/>
        <n v="60.4"/>
        <n v="57.2"/>
        <n v="61.7"/>
        <n v="64.3"/>
        <n v="65.900000000000006"/>
        <n v="67.400000000000006"/>
        <n v="73.900000000000006"/>
        <n v="69.099999999999994"/>
        <n v="61.4"/>
        <n v="64.099999999999994"/>
        <n v="65.400000000000006"/>
        <n v="60.2"/>
        <n v="123.2"/>
        <n v="126.1"/>
        <n v="135.1"/>
        <n v="135.19999999999999"/>
        <n v="133.5"/>
        <n v="136.69999999999999"/>
        <n v="136"/>
        <n v="63.9"/>
        <n v="63.6"/>
        <n v="63.8"/>
        <n v="60.3"/>
        <n v="57.9"/>
        <n v="74.2"/>
        <n v="76.900000000000006"/>
        <n v="79.2"/>
        <n v="82"/>
        <n v="80.400000000000006"/>
        <n v="78"/>
        <n v="98.5"/>
        <n v="99.3"/>
        <n v="102.4"/>
        <n v="102.6"/>
        <n v="100.9"/>
        <n v="94.6"/>
        <n v="84.7"/>
        <n v="116.6"/>
        <n v="129"/>
        <n v="130.4"/>
        <n v="115.2"/>
        <n v="109.3"/>
        <n v="100.7"/>
        <n v="98.9"/>
        <n v="91.9"/>
        <n v="106.7"/>
        <n v="111.4"/>
        <n v="109.7"/>
        <n v="103.2"/>
        <n v="98.7"/>
        <n v="46.1"/>
        <n v="48.7"/>
        <n v="46"/>
        <n v="44.1"/>
        <n v="44.4"/>
      </sharedItems>
    </cacheField>
    <cacheField name="UP" numFmtId="0">
      <sharedItems containsSemiMixedTypes="0" containsString="0" containsNumber="1" minValue="215.8" maxValue="452.6" count="87">
        <n v="270.39999999999998"/>
        <n v="271.8"/>
        <n v="271.2"/>
        <n v="282.10000000000002"/>
        <n v="276.89999999999998"/>
        <n v="276.8"/>
        <n v="362.8"/>
        <n v="405.5"/>
        <n v="429.1"/>
        <n v="430.6"/>
        <n v="431.3"/>
        <n v="439.7"/>
        <n v="409.2"/>
        <n v="235.1"/>
        <n v="222.1"/>
        <n v="249"/>
        <n v="276.39999999999998"/>
        <n v="287.7"/>
        <n v="268.60000000000002"/>
        <n v="287.10000000000002"/>
        <n v="260.8"/>
        <n v="258.2"/>
        <n v="258.39999999999998"/>
        <n v="238.2"/>
        <n v="236.2"/>
        <n v="240.5"/>
        <n v="232.6"/>
        <n v="291.7"/>
        <n v="279.39999999999998"/>
        <n v="297.60000000000002"/>
        <n v="308.60000000000002"/>
        <n v="317.89999999999998"/>
        <n v="320"/>
        <n v="292.2"/>
        <n v="261.39999999999998"/>
        <n v="259.60000000000002"/>
        <n v="241.9"/>
        <n v="268"/>
        <n v="258"/>
        <n v="230"/>
        <n v="383"/>
        <n v="407.9"/>
        <n v="416.9"/>
        <n v="435.1"/>
        <n v="446.8"/>
        <n v="452.6"/>
        <n v="445.1"/>
        <n v="259.89999999999998"/>
        <n v="250"/>
        <n v="257.7"/>
        <n v="250.6"/>
        <n v="274.89999999999998"/>
        <n v="247.3"/>
        <n v="215.8"/>
        <n v="280.7"/>
        <n v="276.60000000000002"/>
        <n v="277.3"/>
        <n v="293.2"/>
        <n v="304.8"/>
        <n v="297"/>
        <n v="308"/>
        <n v="326.89999999999998"/>
        <n v="328.4"/>
        <n v="335.1"/>
        <n v="301.8"/>
        <n v="276.3"/>
        <n v="261.3"/>
        <n v="244.4"/>
        <n v="422.1"/>
        <n v="428.8"/>
        <n v="406.8"/>
        <n v="372.2"/>
        <n v="357.5"/>
        <n v="359.1"/>
        <n v="364.1"/>
        <n v="342.3"/>
        <n v="362"/>
        <n v="380.7"/>
        <n v="387.1"/>
        <n v="364"/>
        <n v="358.7"/>
        <n v="240.8"/>
        <n v="247.4"/>
        <n v="241.6"/>
        <n v="239.9"/>
        <n v="238.9"/>
        <n v="217.3"/>
      </sharedItems>
    </cacheField>
    <cacheField name="Days (Date)" numFmtId="0" databaseField="0">
      <fieldGroup base="0">
        <rangePr groupBy="days" startDate="2019-03-02T00:00:00" endDate="2019-06-01T00:00:00"/>
        <groupItems count="368">
          <s v="&lt;02-03-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6-2019"/>
        </groupItems>
      </fieldGroup>
    </cacheField>
    <cacheField name="Months (Date)" numFmtId="0" databaseField="0">
      <fieldGroup base="0">
        <rangePr groupBy="months" startDate="2019-03-02T00:00:00" endDate="2019-06-01T00:00:00"/>
        <groupItems count="14">
          <s v="&lt;02-03-2019"/>
          <s v="Jan"/>
          <s v="Feb"/>
          <s v="Mar"/>
          <s v="Apr"/>
          <s v="May"/>
          <s v="Jun"/>
          <s v="Jul"/>
          <s v="Aug"/>
          <s v="Sep"/>
          <s v="Oct"/>
          <s v="Nov"/>
          <s v="Dec"/>
          <s v="&gt;01-06-2019"/>
        </groupItems>
      </fieldGroup>
    </cacheField>
  </cacheFields>
  <extLst>
    <ext xmlns:x14="http://schemas.microsoft.com/office/spreadsheetml/2009/9/main" uri="{725AE2AE-9491-48be-B2B4-4EB974FC3084}">
      <x14:pivotCacheDefinition pivotCacheId="10529573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NE VAISHNAVI" refreshedDate="46129.533376967593" createdVersion="8" refreshedVersion="8" minRefreshableVersion="3" recordCount="445" xr:uid="{09D116AB-456E-4CC6-A4AA-80058328DD4F}">
  <cacheSource type="worksheet">
    <worksheetSource name="data1"/>
  </cacheSource>
  <cacheFields count="5">
    <cacheField name="Date" numFmtId="22">
      <sharedItems containsSemiMixedTypes="0" containsNonDate="0" containsDate="1" containsString="0" minDate="2019-03-02T00:00:00" maxDate="2019-06-01T00:00:00" count="89">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sharedItems>
      <fieldGroup par="4"/>
    </cacheField>
    <cacheField name="States" numFmtId="0">
      <sharedItems count="5">
        <s v="Punjab"/>
        <s v="Haryana"/>
        <s v="Rajasthan"/>
        <s v="Delhi"/>
        <s v="UP"/>
      </sharedItems>
    </cacheField>
    <cacheField name="Demand" numFmtId="0">
      <sharedItems containsSemiMixedTypes="0" containsString="0" containsNumber="1" minValue="44.1" maxValue="452.6"/>
    </cacheField>
    <cacheField name="Days (Date)" numFmtId="0" databaseField="0">
      <fieldGroup base="0">
        <rangePr groupBy="days" startDate="2019-03-02T00:00:00" endDate="2019-06-01T00:00:00"/>
        <groupItems count="368">
          <s v="&lt;02-03-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6-2019"/>
        </groupItems>
      </fieldGroup>
    </cacheField>
    <cacheField name="Months (Date)" numFmtId="0" databaseField="0">
      <fieldGroup base="0">
        <rangePr groupBy="months" startDate="2019-03-02T00:00:00" endDate="2019-06-01T00:00:00"/>
        <groupItems count="14">
          <s v="&lt;02-03-2019"/>
          <s v="Jan"/>
          <s v="Feb"/>
          <s v="Mar"/>
          <s v="Apr"/>
          <s v="May"/>
          <s v="Jun"/>
          <s v="Jul"/>
          <s v="Aug"/>
          <s v="Sep"/>
          <s v="Oct"/>
          <s v="Nov"/>
          <s v="Dec"/>
          <s v="&gt;01-06-2019"/>
        </groupItems>
      </fieldGroup>
    </cacheField>
  </cacheFields>
  <extLst>
    <ext xmlns:x14="http://schemas.microsoft.com/office/spreadsheetml/2009/9/main" uri="{725AE2AE-9491-48be-B2B4-4EB974FC3084}">
      <x14:pivotCacheDefinition pivotCacheId="2068131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x v="0"/>
    <x v="0"/>
    <x v="0"/>
    <x v="0"/>
    <x v="0"/>
    <x v="0"/>
  </r>
  <r>
    <x v="1"/>
    <x v="1"/>
    <x v="1"/>
    <x v="1"/>
    <x v="1"/>
    <x v="1"/>
  </r>
  <r>
    <x v="2"/>
    <x v="2"/>
    <x v="2"/>
    <x v="1"/>
    <x v="2"/>
    <x v="2"/>
  </r>
  <r>
    <x v="3"/>
    <x v="3"/>
    <x v="3"/>
    <x v="2"/>
    <x v="3"/>
    <x v="3"/>
  </r>
  <r>
    <x v="4"/>
    <x v="4"/>
    <x v="4"/>
    <x v="3"/>
    <x v="4"/>
    <x v="4"/>
  </r>
  <r>
    <x v="5"/>
    <x v="5"/>
    <x v="0"/>
    <x v="4"/>
    <x v="5"/>
    <x v="5"/>
  </r>
  <r>
    <x v="6"/>
    <x v="6"/>
    <x v="5"/>
    <x v="5"/>
    <x v="6"/>
    <x v="6"/>
  </r>
  <r>
    <x v="7"/>
    <x v="7"/>
    <x v="6"/>
    <x v="6"/>
    <x v="7"/>
    <x v="7"/>
  </r>
  <r>
    <x v="8"/>
    <x v="8"/>
    <x v="7"/>
    <x v="7"/>
    <x v="8"/>
    <x v="8"/>
  </r>
  <r>
    <x v="9"/>
    <x v="9"/>
    <x v="8"/>
    <x v="8"/>
    <x v="9"/>
    <x v="9"/>
  </r>
  <r>
    <x v="10"/>
    <x v="10"/>
    <x v="9"/>
    <x v="9"/>
    <x v="10"/>
    <x v="10"/>
  </r>
  <r>
    <x v="11"/>
    <x v="11"/>
    <x v="10"/>
    <x v="10"/>
    <x v="11"/>
    <x v="11"/>
  </r>
  <r>
    <x v="12"/>
    <x v="12"/>
    <x v="11"/>
    <x v="11"/>
    <x v="12"/>
    <x v="12"/>
  </r>
  <r>
    <x v="13"/>
    <x v="13"/>
    <x v="12"/>
    <x v="12"/>
    <x v="13"/>
    <x v="13"/>
  </r>
  <r>
    <x v="14"/>
    <x v="14"/>
    <x v="13"/>
    <x v="13"/>
    <x v="14"/>
    <x v="14"/>
  </r>
  <r>
    <x v="15"/>
    <x v="15"/>
    <x v="14"/>
    <x v="14"/>
    <x v="15"/>
    <x v="15"/>
  </r>
  <r>
    <x v="16"/>
    <x v="16"/>
    <x v="15"/>
    <x v="15"/>
    <x v="16"/>
    <x v="16"/>
  </r>
  <r>
    <x v="17"/>
    <x v="17"/>
    <x v="16"/>
    <x v="16"/>
    <x v="17"/>
    <x v="17"/>
  </r>
  <r>
    <x v="18"/>
    <x v="18"/>
    <x v="17"/>
    <x v="17"/>
    <x v="18"/>
    <x v="18"/>
  </r>
  <r>
    <x v="19"/>
    <x v="18"/>
    <x v="18"/>
    <x v="18"/>
    <x v="19"/>
    <x v="19"/>
  </r>
  <r>
    <x v="20"/>
    <x v="19"/>
    <x v="19"/>
    <x v="19"/>
    <x v="20"/>
    <x v="20"/>
  </r>
  <r>
    <x v="21"/>
    <x v="20"/>
    <x v="20"/>
    <x v="20"/>
    <x v="21"/>
    <x v="21"/>
  </r>
  <r>
    <x v="22"/>
    <x v="21"/>
    <x v="21"/>
    <x v="21"/>
    <x v="22"/>
    <x v="22"/>
  </r>
  <r>
    <x v="23"/>
    <x v="22"/>
    <x v="22"/>
    <x v="22"/>
    <x v="23"/>
    <x v="23"/>
  </r>
  <r>
    <x v="24"/>
    <x v="23"/>
    <x v="23"/>
    <x v="23"/>
    <x v="21"/>
    <x v="24"/>
  </r>
  <r>
    <x v="25"/>
    <x v="24"/>
    <x v="24"/>
    <x v="24"/>
    <x v="24"/>
    <x v="25"/>
  </r>
  <r>
    <x v="26"/>
    <x v="25"/>
    <x v="25"/>
    <x v="25"/>
    <x v="25"/>
    <x v="26"/>
  </r>
  <r>
    <x v="27"/>
    <x v="26"/>
    <x v="26"/>
    <x v="26"/>
    <x v="26"/>
    <x v="27"/>
  </r>
  <r>
    <x v="28"/>
    <x v="27"/>
    <x v="27"/>
    <x v="27"/>
    <x v="27"/>
    <x v="28"/>
  </r>
  <r>
    <x v="29"/>
    <x v="28"/>
    <x v="28"/>
    <x v="28"/>
    <x v="28"/>
    <x v="29"/>
  </r>
  <r>
    <x v="30"/>
    <x v="29"/>
    <x v="29"/>
    <x v="29"/>
    <x v="29"/>
    <x v="30"/>
  </r>
  <r>
    <x v="31"/>
    <x v="30"/>
    <x v="30"/>
    <x v="30"/>
    <x v="1"/>
    <x v="31"/>
  </r>
  <r>
    <x v="32"/>
    <x v="31"/>
    <x v="31"/>
    <x v="31"/>
    <x v="30"/>
    <x v="32"/>
  </r>
  <r>
    <x v="33"/>
    <x v="32"/>
    <x v="32"/>
    <x v="32"/>
    <x v="31"/>
    <x v="33"/>
  </r>
  <r>
    <x v="34"/>
    <x v="33"/>
    <x v="33"/>
    <x v="6"/>
    <x v="32"/>
    <x v="34"/>
  </r>
  <r>
    <x v="35"/>
    <x v="20"/>
    <x v="33"/>
    <x v="33"/>
    <x v="33"/>
    <x v="35"/>
  </r>
  <r>
    <x v="36"/>
    <x v="34"/>
    <x v="34"/>
    <x v="34"/>
    <x v="17"/>
    <x v="36"/>
  </r>
  <r>
    <x v="37"/>
    <x v="34"/>
    <x v="34"/>
    <x v="34"/>
    <x v="17"/>
    <x v="36"/>
  </r>
  <r>
    <x v="38"/>
    <x v="35"/>
    <x v="35"/>
    <x v="35"/>
    <x v="34"/>
    <x v="37"/>
  </r>
  <r>
    <x v="39"/>
    <x v="36"/>
    <x v="36"/>
    <x v="36"/>
    <x v="16"/>
    <x v="38"/>
  </r>
  <r>
    <x v="40"/>
    <x v="37"/>
    <x v="37"/>
    <x v="37"/>
    <x v="35"/>
    <x v="39"/>
  </r>
  <r>
    <x v="41"/>
    <x v="38"/>
    <x v="38"/>
    <x v="0"/>
    <x v="36"/>
    <x v="40"/>
  </r>
  <r>
    <x v="42"/>
    <x v="39"/>
    <x v="39"/>
    <x v="38"/>
    <x v="37"/>
    <x v="41"/>
  </r>
  <r>
    <x v="43"/>
    <x v="40"/>
    <x v="40"/>
    <x v="39"/>
    <x v="38"/>
    <x v="42"/>
  </r>
  <r>
    <x v="44"/>
    <x v="41"/>
    <x v="41"/>
    <x v="40"/>
    <x v="39"/>
    <x v="43"/>
  </r>
  <r>
    <x v="45"/>
    <x v="42"/>
    <x v="42"/>
    <x v="41"/>
    <x v="40"/>
    <x v="44"/>
  </r>
  <r>
    <x v="46"/>
    <x v="43"/>
    <x v="43"/>
    <x v="42"/>
    <x v="41"/>
    <x v="45"/>
  </r>
  <r>
    <x v="47"/>
    <x v="44"/>
    <x v="44"/>
    <x v="43"/>
    <x v="42"/>
    <x v="46"/>
  </r>
  <r>
    <x v="48"/>
    <x v="45"/>
    <x v="45"/>
    <x v="44"/>
    <x v="43"/>
    <x v="47"/>
  </r>
  <r>
    <x v="49"/>
    <x v="46"/>
    <x v="4"/>
    <x v="45"/>
    <x v="44"/>
    <x v="48"/>
  </r>
  <r>
    <x v="50"/>
    <x v="47"/>
    <x v="46"/>
    <x v="46"/>
    <x v="45"/>
    <x v="49"/>
  </r>
  <r>
    <x v="51"/>
    <x v="45"/>
    <x v="47"/>
    <x v="47"/>
    <x v="20"/>
    <x v="50"/>
  </r>
  <r>
    <x v="52"/>
    <x v="48"/>
    <x v="47"/>
    <x v="48"/>
    <x v="45"/>
    <x v="51"/>
  </r>
  <r>
    <x v="53"/>
    <x v="49"/>
    <x v="48"/>
    <x v="49"/>
    <x v="46"/>
    <x v="52"/>
  </r>
  <r>
    <x v="54"/>
    <x v="50"/>
    <x v="49"/>
    <x v="50"/>
    <x v="47"/>
    <x v="53"/>
  </r>
  <r>
    <x v="55"/>
    <x v="51"/>
    <x v="50"/>
    <x v="51"/>
    <x v="48"/>
    <x v="54"/>
  </r>
  <r>
    <x v="56"/>
    <x v="52"/>
    <x v="51"/>
    <x v="52"/>
    <x v="49"/>
    <x v="55"/>
  </r>
  <r>
    <x v="57"/>
    <x v="53"/>
    <x v="52"/>
    <x v="53"/>
    <x v="49"/>
    <x v="56"/>
  </r>
  <r>
    <x v="58"/>
    <x v="54"/>
    <x v="53"/>
    <x v="54"/>
    <x v="50"/>
    <x v="57"/>
  </r>
  <r>
    <x v="59"/>
    <x v="55"/>
    <x v="54"/>
    <x v="55"/>
    <x v="51"/>
    <x v="58"/>
  </r>
  <r>
    <x v="60"/>
    <x v="56"/>
    <x v="55"/>
    <x v="56"/>
    <x v="52"/>
    <x v="59"/>
  </r>
  <r>
    <x v="61"/>
    <x v="57"/>
    <x v="28"/>
    <x v="57"/>
    <x v="53"/>
    <x v="60"/>
  </r>
  <r>
    <x v="62"/>
    <x v="58"/>
    <x v="56"/>
    <x v="58"/>
    <x v="54"/>
    <x v="61"/>
  </r>
  <r>
    <x v="63"/>
    <x v="59"/>
    <x v="57"/>
    <x v="59"/>
    <x v="55"/>
    <x v="62"/>
  </r>
  <r>
    <x v="64"/>
    <x v="60"/>
    <x v="58"/>
    <x v="60"/>
    <x v="56"/>
    <x v="63"/>
  </r>
  <r>
    <x v="65"/>
    <x v="61"/>
    <x v="59"/>
    <x v="61"/>
    <x v="57"/>
    <x v="64"/>
  </r>
  <r>
    <x v="66"/>
    <x v="62"/>
    <x v="60"/>
    <x v="62"/>
    <x v="58"/>
    <x v="65"/>
  </r>
  <r>
    <x v="67"/>
    <x v="63"/>
    <x v="61"/>
    <x v="63"/>
    <x v="59"/>
    <x v="66"/>
  </r>
  <r>
    <x v="68"/>
    <x v="64"/>
    <x v="62"/>
    <x v="64"/>
    <x v="60"/>
    <x v="67"/>
  </r>
  <r>
    <x v="69"/>
    <x v="65"/>
    <x v="63"/>
    <x v="65"/>
    <x v="61"/>
    <x v="68"/>
  </r>
  <r>
    <x v="70"/>
    <x v="66"/>
    <x v="64"/>
    <x v="66"/>
    <x v="62"/>
    <x v="69"/>
  </r>
  <r>
    <x v="71"/>
    <x v="67"/>
    <x v="65"/>
    <x v="67"/>
    <x v="63"/>
    <x v="70"/>
  </r>
  <r>
    <x v="72"/>
    <x v="68"/>
    <x v="66"/>
    <x v="68"/>
    <x v="64"/>
    <x v="71"/>
  </r>
  <r>
    <x v="73"/>
    <x v="69"/>
    <x v="67"/>
    <x v="69"/>
    <x v="65"/>
    <x v="72"/>
  </r>
  <r>
    <x v="74"/>
    <x v="70"/>
    <x v="68"/>
    <x v="70"/>
    <x v="66"/>
    <x v="73"/>
  </r>
  <r>
    <x v="75"/>
    <x v="71"/>
    <x v="69"/>
    <x v="71"/>
    <x v="67"/>
    <x v="74"/>
  </r>
  <r>
    <x v="76"/>
    <x v="56"/>
    <x v="70"/>
    <x v="72"/>
    <x v="68"/>
    <x v="75"/>
  </r>
  <r>
    <x v="77"/>
    <x v="72"/>
    <x v="71"/>
    <x v="73"/>
    <x v="55"/>
    <x v="76"/>
  </r>
  <r>
    <x v="78"/>
    <x v="73"/>
    <x v="72"/>
    <x v="74"/>
    <x v="69"/>
    <x v="77"/>
  </r>
  <r>
    <x v="79"/>
    <x v="74"/>
    <x v="73"/>
    <x v="75"/>
    <x v="70"/>
    <x v="78"/>
  </r>
  <r>
    <x v="80"/>
    <x v="75"/>
    <x v="74"/>
    <x v="76"/>
    <x v="71"/>
    <x v="78"/>
  </r>
  <r>
    <x v="81"/>
    <x v="76"/>
    <x v="75"/>
    <x v="77"/>
    <x v="72"/>
    <x v="79"/>
  </r>
  <r>
    <x v="82"/>
    <x v="77"/>
    <x v="76"/>
    <x v="78"/>
    <x v="73"/>
    <x v="80"/>
  </r>
  <r>
    <x v="83"/>
    <x v="78"/>
    <x v="77"/>
    <x v="79"/>
    <x v="74"/>
    <x v="81"/>
  </r>
  <r>
    <x v="84"/>
    <x v="79"/>
    <x v="78"/>
    <x v="80"/>
    <x v="75"/>
    <x v="82"/>
  </r>
  <r>
    <x v="85"/>
    <x v="80"/>
    <x v="79"/>
    <x v="81"/>
    <x v="76"/>
    <x v="83"/>
  </r>
  <r>
    <x v="86"/>
    <x v="81"/>
    <x v="80"/>
    <x v="82"/>
    <x v="74"/>
    <x v="84"/>
  </r>
  <r>
    <x v="87"/>
    <x v="82"/>
    <x v="81"/>
    <x v="83"/>
    <x v="77"/>
    <x v="85"/>
  </r>
  <r>
    <x v="88"/>
    <x v="83"/>
    <x v="82"/>
    <x v="84"/>
    <x v="78"/>
    <x v="8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5">
  <r>
    <x v="0"/>
    <x v="0"/>
    <n v="102.9"/>
  </r>
  <r>
    <x v="0"/>
    <x v="1"/>
    <n v="116.3"/>
  </r>
  <r>
    <x v="0"/>
    <x v="2"/>
    <n v="240.6"/>
  </r>
  <r>
    <x v="0"/>
    <x v="3"/>
    <n v="72.099999999999994"/>
  </r>
  <r>
    <x v="0"/>
    <x v="4"/>
    <n v="270.39999999999998"/>
  </r>
  <r>
    <x v="1"/>
    <x v="0"/>
    <n v="104.2"/>
  </r>
  <r>
    <x v="1"/>
    <x v="1"/>
    <n v="123.1"/>
  </r>
  <r>
    <x v="1"/>
    <x v="2"/>
    <n v="240.9"/>
  </r>
  <r>
    <x v="1"/>
    <x v="3"/>
    <n v="71.8"/>
  </r>
  <r>
    <x v="1"/>
    <x v="4"/>
    <n v="271.8"/>
  </r>
  <r>
    <x v="2"/>
    <x v="0"/>
    <n v="106.9"/>
  </r>
  <r>
    <x v="2"/>
    <x v="1"/>
    <n v="124"/>
  </r>
  <r>
    <x v="2"/>
    <x v="2"/>
    <n v="240.9"/>
  </r>
  <r>
    <x v="2"/>
    <x v="3"/>
    <n v="71.099999999999994"/>
  </r>
  <r>
    <x v="2"/>
    <x v="4"/>
    <n v="271.2"/>
  </r>
  <r>
    <x v="3"/>
    <x v="0"/>
    <n v="111.2"/>
  </r>
  <r>
    <x v="3"/>
    <x v="1"/>
    <n v="125.6"/>
  </r>
  <r>
    <x v="3"/>
    <x v="2"/>
    <n v="243.6"/>
  </r>
  <r>
    <x v="3"/>
    <x v="3"/>
    <n v="73"/>
  </r>
  <r>
    <x v="3"/>
    <x v="4"/>
    <n v="282.10000000000002"/>
  </r>
  <r>
    <x v="4"/>
    <x v="0"/>
    <n v="111.6"/>
  </r>
  <r>
    <x v="4"/>
    <x v="1"/>
    <n v="124.7"/>
  </r>
  <r>
    <x v="4"/>
    <x v="2"/>
    <n v="243.7"/>
  </r>
  <r>
    <x v="4"/>
    <x v="3"/>
    <n v="68"/>
  </r>
  <r>
    <x v="4"/>
    <x v="4"/>
    <n v="276.89999999999998"/>
  </r>
  <r>
    <x v="5"/>
    <x v="0"/>
    <n v="106.1"/>
  </r>
  <r>
    <x v="5"/>
    <x v="1"/>
    <n v="116.3"/>
  </r>
  <r>
    <x v="5"/>
    <x v="2"/>
    <n v="242.5"/>
  </r>
  <r>
    <x v="5"/>
    <x v="3"/>
    <n v="67.3"/>
  </r>
  <r>
    <x v="5"/>
    <x v="4"/>
    <n v="276.8"/>
  </r>
  <r>
    <x v="6"/>
    <x v="0"/>
    <n v="245.8"/>
  </r>
  <r>
    <x v="6"/>
    <x v="1"/>
    <n v="186"/>
  </r>
  <r>
    <x v="6"/>
    <x v="2"/>
    <n v="229.7"/>
  </r>
  <r>
    <x v="6"/>
    <x v="3"/>
    <n v="111.7"/>
  </r>
  <r>
    <x v="6"/>
    <x v="4"/>
    <n v="362.8"/>
  </r>
  <r>
    <x v="7"/>
    <x v="0"/>
    <n v="256.7"/>
  </r>
  <r>
    <x v="7"/>
    <x v="1"/>
    <n v="204.4"/>
  </r>
  <r>
    <x v="7"/>
    <x v="2"/>
    <n v="232.4"/>
  </r>
  <r>
    <x v="7"/>
    <x v="3"/>
    <n v="121.6"/>
  </r>
  <r>
    <x v="7"/>
    <x v="4"/>
    <n v="405.5"/>
  </r>
  <r>
    <x v="8"/>
    <x v="0"/>
    <n v="265.3"/>
  </r>
  <r>
    <x v="8"/>
    <x v="1"/>
    <n v="217"/>
  </r>
  <r>
    <x v="8"/>
    <x v="2"/>
    <n v="221"/>
  </r>
  <r>
    <x v="8"/>
    <x v="3"/>
    <n v="128"/>
  </r>
  <r>
    <x v="8"/>
    <x v="4"/>
    <n v="429.1"/>
  </r>
  <r>
    <x v="9"/>
    <x v="0"/>
    <n v="266.5"/>
  </r>
  <r>
    <x v="9"/>
    <x v="1"/>
    <n v="214.8"/>
  </r>
  <r>
    <x v="9"/>
    <x v="2"/>
    <n v="217.3"/>
  </r>
  <r>
    <x v="9"/>
    <x v="3"/>
    <n v="132.69999999999999"/>
  </r>
  <r>
    <x v="9"/>
    <x v="4"/>
    <n v="430.6"/>
  </r>
  <r>
    <x v="10"/>
    <x v="0"/>
    <n v="257.89999999999998"/>
  </r>
  <r>
    <x v="10"/>
    <x v="1"/>
    <n v="214"/>
  </r>
  <r>
    <x v="10"/>
    <x v="2"/>
    <n v="212.7"/>
  </r>
  <r>
    <x v="10"/>
    <x v="3"/>
    <n v="132.6"/>
  </r>
  <r>
    <x v="10"/>
    <x v="4"/>
    <n v="431.3"/>
  </r>
  <r>
    <x v="11"/>
    <x v="0"/>
    <n v="260.3"/>
  </r>
  <r>
    <x v="11"/>
    <x v="1"/>
    <n v="218.3"/>
  </r>
  <r>
    <x v="11"/>
    <x v="2"/>
    <n v="214.6"/>
  </r>
  <r>
    <x v="11"/>
    <x v="3"/>
    <n v="129.69999999999999"/>
  </r>
  <r>
    <x v="11"/>
    <x v="4"/>
    <n v="439.7"/>
  </r>
  <r>
    <x v="12"/>
    <x v="0"/>
    <n v="233.4"/>
  </r>
  <r>
    <x v="12"/>
    <x v="1"/>
    <n v="194.6"/>
  </r>
  <r>
    <x v="12"/>
    <x v="2"/>
    <n v="203.9"/>
  </r>
  <r>
    <x v="12"/>
    <x v="3"/>
    <n v="113.9"/>
  </r>
  <r>
    <x v="12"/>
    <x v="4"/>
    <n v="409.2"/>
  </r>
  <r>
    <x v="13"/>
    <x v="0"/>
    <n v="87.5"/>
  </r>
  <r>
    <x v="13"/>
    <x v="1"/>
    <n v="87.9"/>
  </r>
  <r>
    <x v="13"/>
    <x v="2"/>
    <n v="164"/>
  </r>
  <r>
    <x v="13"/>
    <x v="3"/>
    <n v="57.8"/>
  </r>
  <r>
    <x v="13"/>
    <x v="4"/>
    <n v="235.1"/>
  </r>
  <r>
    <x v="14"/>
    <x v="0"/>
    <n v="81.5"/>
  </r>
  <r>
    <x v="14"/>
    <x v="1"/>
    <n v="86.6"/>
  </r>
  <r>
    <x v="14"/>
    <x v="2"/>
    <n v="165.4"/>
  </r>
  <r>
    <x v="14"/>
    <x v="3"/>
    <n v="51.2"/>
  </r>
  <r>
    <x v="14"/>
    <x v="4"/>
    <n v="222.1"/>
  </r>
  <r>
    <x v="15"/>
    <x v="0"/>
    <n v="89.6"/>
  </r>
  <r>
    <x v="15"/>
    <x v="1"/>
    <n v="93.4"/>
  </r>
  <r>
    <x v="15"/>
    <x v="2"/>
    <n v="180.1"/>
  </r>
  <r>
    <x v="15"/>
    <x v="3"/>
    <n v="58.4"/>
  </r>
  <r>
    <x v="15"/>
    <x v="4"/>
    <n v="249"/>
  </r>
  <r>
    <x v="16"/>
    <x v="0"/>
    <n v="96.5"/>
  </r>
  <r>
    <x v="16"/>
    <x v="1"/>
    <n v="102.4"/>
  </r>
  <r>
    <x v="16"/>
    <x v="2"/>
    <n v="188.8"/>
  </r>
  <r>
    <x v="16"/>
    <x v="3"/>
    <n v="63"/>
  </r>
  <r>
    <x v="16"/>
    <x v="4"/>
    <n v="276.39999999999998"/>
  </r>
  <r>
    <x v="17"/>
    <x v="0"/>
    <n v="103.4"/>
  </r>
  <r>
    <x v="17"/>
    <x v="1"/>
    <n v="108.4"/>
  </r>
  <r>
    <x v="17"/>
    <x v="2"/>
    <n v="190.9"/>
  </r>
  <r>
    <x v="17"/>
    <x v="3"/>
    <n v="66.099999999999994"/>
  </r>
  <r>
    <x v="17"/>
    <x v="4"/>
    <n v="287.7"/>
  </r>
  <r>
    <x v="18"/>
    <x v="0"/>
    <n v="109"/>
  </r>
  <r>
    <x v="18"/>
    <x v="1"/>
    <n v="114.4"/>
  </r>
  <r>
    <x v="18"/>
    <x v="2"/>
    <n v="198.4"/>
  </r>
  <r>
    <x v="18"/>
    <x v="3"/>
    <n v="69.599999999999994"/>
  </r>
  <r>
    <x v="18"/>
    <x v="4"/>
    <n v="268.60000000000002"/>
  </r>
  <r>
    <x v="19"/>
    <x v="0"/>
    <n v="109"/>
  </r>
  <r>
    <x v="19"/>
    <x v="1"/>
    <n v="112.5"/>
  </r>
  <r>
    <x v="19"/>
    <x v="2"/>
    <n v="206.6"/>
  </r>
  <r>
    <x v="19"/>
    <x v="3"/>
    <n v="68.3"/>
  </r>
  <r>
    <x v="19"/>
    <x v="4"/>
    <n v="287.10000000000002"/>
  </r>
  <r>
    <x v="20"/>
    <x v="0"/>
    <n v="101.7"/>
  </r>
  <r>
    <x v="20"/>
    <x v="1"/>
    <n v="114.5"/>
  </r>
  <r>
    <x v="20"/>
    <x v="2"/>
    <n v="216.7"/>
  </r>
  <r>
    <x v="20"/>
    <x v="3"/>
    <n v="62.5"/>
  </r>
  <r>
    <x v="20"/>
    <x v="4"/>
    <n v="260.8"/>
  </r>
  <r>
    <x v="21"/>
    <x v="0"/>
    <n v="100.3"/>
  </r>
  <r>
    <x v="21"/>
    <x v="1"/>
    <n v="114.2"/>
  </r>
  <r>
    <x v="21"/>
    <x v="2"/>
    <n v="214.5"/>
  </r>
  <r>
    <x v="21"/>
    <x v="3"/>
    <n v="63.5"/>
  </r>
  <r>
    <x v="21"/>
    <x v="4"/>
    <n v="258.2"/>
  </r>
  <r>
    <x v="22"/>
    <x v="0"/>
    <n v="98"/>
  </r>
  <r>
    <x v="22"/>
    <x v="1"/>
    <n v="108.2"/>
  </r>
  <r>
    <x v="22"/>
    <x v="2"/>
    <n v="218.6"/>
  </r>
  <r>
    <x v="22"/>
    <x v="3"/>
    <n v="62.6"/>
  </r>
  <r>
    <x v="22"/>
    <x v="4"/>
    <n v="258.39999999999998"/>
  </r>
  <r>
    <x v="23"/>
    <x v="0"/>
    <n v="99.4"/>
  </r>
  <r>
    <x v="23"/>
    <x v="1"/>
    <n v="100.3"/>
  </r>
  <r>
    <x v="23"/>
    <x v="2"/>
    <n v="213"/>
  </r>
  <r>
    <x v="23"/>
    <x v="3"/>
    <n v="62.4"/>
  </r>
  <r>
    <x v="23"/>
    <x v="4"/>
    <n v="238.2"/>
  </r>
  <r>
    <x v="24"/>
    <x v="0"/>
    <n v="102.8"/>
  </r>
  <r>
    <x v="24"/>
    <x v="1"/>
    <n v="109.9"/>
  </r>
  <r>
    <x v="24"/>
    <x v="2"/>
    <n v="212.3"/>
  </r>
  <r>
    <x v="24"/>
    <x v="3"/>
    <n v="63.5"/>
  </r>
  <r>
    <x v="24"/>
    <x v="4"/>
    <n v="236.2"/>
  </r>
  <r>
    <x v="25"/>
    <x v="0"/>
    <n v="101.4"/>
  </r>
  <r>
    <x v="25"/>
    <x v="1"/>
    <n v="108.5"/>
  </r>
  <r>
    <x v="25"/>
    <x v="2"/>
    <n v="213.3"/>
  </r>
  <r>
    <x v="25"/>
    <x v="3"/>
    <n v="60.4"/>
  </r>
  <r>
    <x v="25"/>
    <x v="4"/>
    <n v="240.5"/>
  </r>
  <r>
    <x v="26"/>
    <x v="0"/>
    <n v="92.9"/>
  </r>
  <r>
    <x v="26"/>
    <x v="1"/>
    <n v="97.7"/>
  </r>
  <r>
    <x v="26"/>
    <x v="2"/>
    <n v="210.3"/>
  </r>
  <r>
    <x v="26"/>
    <x v="3"/>
    <n v="57.2"/>
  </r>
  <r>
    <x v="26"/>
    <x v="4"/>
    <n v="232.6"/>
  </r>
  <r>
    <x v="27"/>
    <x v="0"/>
    <n v="118.3"/>
  </r>
  <r>
    <x v="27"/>
    <x v="1"/>
    <n v="117.7"/>
  </r>
  <r>
    <x v="27"/>
    <x v="2"/>
    <n v="209.5"/>
  </r>
  <r>
    <x v="27"/>
    <x v="3"/>
    <n v="61.7"/>
  </r>
  <r>
    <x v="27"/>
    <x v="4"/>
    <n v="291.7"/>
  </r>
  <r>
    <x v="28"/>
    <x v="0"/>
    <n v="123.5"/>
  </r>
  <r>
    <x v="28"/>
    <x v="1"/>
    <n v="123.4"/>
  </r>
  <r>
    <x v="28"/>
    <x v="2"/>
    <n v="216.3"/>
  </r>
  <r>
    <x v="28"/>
    <x v="3"/>
    <n v="64.3"/>
  </r>
  <r>
    <x v="28"/>
    <x v="4"/>
    <n v="279.39999999999998"/>
  </r>
  <r>
    <x v="29"/>
    <x v="0"/>
    <n v="126.9"/>
  </r>
  <r>
    <x v="29"/>
    <x v="1"/>
    <n v="124.6"/>
  </r>
  <r>
    <x v="29"/>
    <x v="2"/>
    <n v="215.4"/>
  </r>
  <r>
    <x v="29"/>
    <x v="3"/>
    <n v="65.900000000000006"/>
  </r>
  <r>
    <x v="29"/>
    <x v="4"/>
    <n v="297.60000000000002"/>
  </r>
  <r>
    <x v="30"/>
    <x v="0"/>
    <n v="129.80000000000001"/>
  </r>
  <r>
    <x v="30"/>
    <x v="1"/>
    <n v="126.3"/>
  </r>
  <r>
    <x v="30"/>
    <x v="2"/>
    <n v="214.8"/>
  </r>
  <r>
    <x v="30"/>
    <x v="3"/>
    <n v="67.400000000000006"/>
  </r>
  <r>
    <x v="30"/>
    <x v="4"/>
    <n v="308.60000000000002"/>
  </r>
  <r>
    <x v="31"/>
    <x v="0"/>
    <n v="131.5"/>
  </r>
  <r>
    <x v="31"/>
    <x v="1"/>
    <n v="129.4"/>
  </r>
  <r>
    <x v="31"/>
    <x v="2"/>
    <n v="222.9"/>
  </r>
  <r>
    <x v="31"/>
    <x v="3"/>
    <n v="71.8"/>
  </r>
  <r>
    <x v="31"/>
    <x v="4"/>
    <n v="317.89999999999998"/>
  </r>
  <r>
    <x v="32"/>
    <x v="0"/>
    <n v="130.80000000000001"/>
  </r>
  <r>
    <x v="32"/>
    <x v="1"/>
    <n v="127.6"/>
  </r>
  <r>
    <x v="32"/>
    <x v="2"/>
    <n v="220.4"/>
  </r>
  <r>
    <x v="32"/>
    <x v="3"/>
    <n v="73.900000000000006"/>
  </r>
  <r>
    <x v="32"/>
    <x v="4"/>
    <n v="320"/>
  </r>
  <r>
    <x v="33"/>
    <x v="0"/>
    <n v="121.4"/>
  </r>
  <r>
    <x v="33"/>
    <x v="1"/>
    <n v="113.9"/>
  </r>
  <r>
    <x v="33"/>
    <x v="2"/>
    <n v="217.5"/>
  </r>
  <r>
    <x v="33"/>
    <x v="3"/>
    <n v="69.099999999999994"/>
  </r>
  <r>
    <x v="33"/>
    <x v="4"/>
    <n v="292.2"/>
  </r>
  <r>
    <x v="34"/>
    <x v="0"/>
    <n v="101.8"/>
  </r>
  <r>
    <x v="34"/>
    <x v="1"/>
    <n v="117.4"/>
  </r>
  <r>
    <x v="34"/>
    <x v="2"/>
    <n v="232.4"/>
  </r>
  <r>
    <x v="34"/>
    <x v="3"/>
    <n v="61.4"/>
  </r>
  <r>
    <x v="34"/>
    <x v="4"/>
    <n v="261.39999999999998"/>
  </r>
  <r>
    <x v="35"/>
    <x v="0"/>
    <n v="100.3"/>
  </r>
  <r>
    <x v="35"/>
    <x v="1"/>
    <n v="117.4"/>
  </r>
  <r>
    <x v="35"/>
    <x v="2"/>
    <n v="228.8"/>
  </r>
  <r>
    <x v="35"/>
    <x v="3"/>
    <n v="64.099999999999994"/>
  </r>
  <r>
    <x v="35"/>
    <x v="4"/>
    <n v="259.60000000000002"/>
  </r>
  <r>
    <x v="36"/>
    <x v="0"/>
    <n v="101.6"/>
  </r>
  <r>
    <x v="36"/>
    <x v="1"/>
    <n v="117.2"/>
  </r>
  <r>
    <x v="36"/>
    <x v="2"/>
    <n v="222.5"/>
  </r>
  <r>
    <x v="36"/>
    <x v="3"/>
    <n v="66.099999999999994"/>
  </r>
  <r>
    <x v="36"/>
    <x v="4"/>
    <n v="241.9"/>
  </r>
  <r>
    <x v="37"/>
    <x v="0"/>
    <n v="101.6"/>
  </r>
  <r>
    <x v="37"/>
    <x v="1"/>
    <n v="117.2"/>
  </r>
  <r>
    <x v="37"/>
    <x v="2"/>
    <n v="222.5"/>
  </r>
  <r>
    <x v="37"/>
    <x v="3"/>
    <n v="66.099999999999994"/>
  </r>
  <r>
    <x v="37"/>
    <x v="4"/>
    <n v="241.9"/>
  </r>
  <r>
    <x v="38"/>
    <x v="0"/>
    <n v="106.8"/>
  </r>
  <r>
    <x v="38"/>
    <x v="1"/>
    <n v="123.7"/>
  </r>
  <r>
    <x v="38"/>
    <x v="2"/>
    <n v="231.3"/>
  </r>
  <r>
    <x v="38"/>
    <x v="3"/>
    <n v="65.400000000000006"/>
  </r>
  <r>
    <x v="38"/>
    <x v="4"/>
    <n v="268"/>
  </r>
  <r>
    <x v="39"/>
    <x v="0"/>
    <n v="105.9"/>
  </r>
  <r>
    <x v="39"/>
    <x v="1"/>
    <n v="111.9"/>
  </r>
  <r>
    <x v="39"/>
    <x v="2"/>
    <n v="223.6"/>
  </r>
  <r>
    <x v="39"/>
    <x v="3"/>
    <n v="63"/>
  </r>
  <r>
    <x v="39"/>
    <x v="4"/>
    <n v="258"/>
  </r>
  <r>
    <x v="40"/>
    <x v="0"/>
    <n v="93.1"/>
  </r>
  <r>
    <x v="40"/>
    <x v="1"/>
    <n v="95"/>
  </r>
  <r>
    <x v="40"/>
    <x v="2"/>
    <n v="212"/>
  </r>
  <r>
    <x v="40"/>
    <x v="3"/>
    <n v="60.2"/>
  </r>
  <r>
    <x v="40"/>
    <x v="4"/>
    <n v="230"/>
  </r>
  <r>
    <x v="41"/>
    <x v="0"/>
    <n v="249.8"/>
  </r>
  <r>
    <x v="41"/>
    <x v="1"/>
    <n v="197.7"/>
  </r>
  <r>
    <x v="41"/>
    <x v="2"/>
    <n v="240.6"/>
  </r>
  <r>
    <x v="41"/>
    <x v="3"/>
    <n v="123.2"/>
  </r>
  <r>
    <x v="41"/>
    <x v="4"/>
    <n v="383"/>
  </r>
  <r>
    <x v="42"/>
    <x v="0"/>
    <n v="250.6"/>
  </r>
  <r>
    <x v="42"/>
    <x v="1"/>
    <n v="209.8"/>
  </r>
  <r>
    <x v="42"/>
    <x v="2"/>
    <n v="242.9"/>
  </r>
  <r>
    <x v="42"/>
    <x v="3"/>
    <n v="126.1"/>
  </r>
  <r>
    <x v="42"/>
    <x v="4"/>
    <n v="407.9"/>
  </r>
  <r>
    <x v="43"/>
    <x v="0"/>
    <n v="274.10000000000002"/>
  </r>
  <r>
    <x v="43"/>
    <x v="1"/>
    <n v="219.4"/>
  </r>
  <r>
    <x v="43"/>
    <x v="2"/>
    <n v="248.5"/>
  </r>
  <r>
    <x v="43"/>
    <x v="3"/>
    <n v="135.1"/>
  </r>
  <r>
    <x v="43"/>
    <x v="4"/>
    <n v="416.9"/>
  </r>
  <r>
    <x v="44"/>
    <x v="0"/>
    <n v="269.39999999999998"/>
  </r>
  <r>
    <x v="44"/>
    <x v="1"/>
    <n v="219.1"/>
  </r>
  <r>
    <x v="44"/>
    <x v="2"/>
    <n v="249.5"/>
  </r>
  <r>
    <x v="44"/>
    <x v="3"/>
    <n v="135.19999999999999"/>
  </r>
  <r>
    <x v="44"/>
    <x v="4"/>
    <n v="435.1"/>
  </r>
  <r>
    <x v="45"/>
    <x v="0"/>
    <n v="282.7"/>
  </r>
  <r>
    <x v="45"/>
    <x v="1"/>
    <n v="219.7"/>
  </r>
  <r>
    <x v="45"/>
    <x v="2"/>
    <n v="254.7"/>
  </r>
  <r>
    <x v="45"/>
    <x v="3"/>
    <n v="133.5"/>
  </r>
  <r>
    <x v="45"/>
    <x v="4"/>
    <n v="446.8"/>
  </r>
  <r>
    <x v="46"/>
    <x v="0"/>
    <n v="281.5"/>
  </r>
  <r>
    <x v="46"/>
    <x v="1"/>
    <n v="224.5"/>
  </r>
  <r>
    <x v="46"/>
    <x v="2"/>
    <n v="255.7"/>
  </r>
  <r>
    <x v="46"/>
    <x v="3"/>
    <n v="136.69999999999999"/>
  </r>
  <r>
    <x v="46"/>
    <x v="4"/>
    <n v="452.6"/>
  </r>
  <r>
    <x v="47"/>
    <x v="0"/>
    <n v="286"/>
  </r>
  <r>
    <x v="47"/>
    <x v="1"/>
    <n v="211.8"/>
  </r>
  <r>
    <x v="47"/>
    <x v="2"/>
    <n v="246.4"/>
  </r>
  <r>
    <x v="47"/>
    <x v="3"/>
    <n v="136"/>
  </r>
  <r>
    <x v="47"/>
    <x v="4"/>
    <n v="445.1"/>
  </r>
  <r>
    <x v="48"/>
    <x v="0"/>
    <n v="121.8"/>
  </r>
  <r>
    <x v="48"/>
    <x v="1"/>
    <n v="120.5"/>
  </r>
  <r>
    <x v="48"/>
    <x v="2"/>
    <n v="242.6"/>
  </r>
  <r>
    <x v="48"/>
    <x v="3"/>
    <n v="63.9"/>
  </r>
  <r>
    <x v="48"/>
    <x v="4"/>
    <n v="259.89999999999998"/>
  </r>
  <r>
    <x v="49"/>
    <x v="0"/>
    <n v="124.8"/>
  </r>
  <r>
    <x v="49"/>
    <x v="1"/>
    <n v="124.7"/>
  </r>
  <r>
    <x v="49"/>
    <x v="2"/>
    <n v="244.8"/>
  </r>
  <r>
    <x v="49"/>
    <x v="3"/>
    <n v="63.6"/>
  </r>
  <r>
    <x v="49"/>
    <x v="4"/>
    <n v="250"/>
  </r>
  <r>
    <x v="50"/>
    <x v="0"/>
    <n v="124.9"/>
  </r>
  <r>
    <x v="50"/>
    <x v="1"/>
    <n v="124.8"/>
  </r>
  <r>
    <x v="50"/>
    <x v="2"/>
    <n v="245.1"/>
  </r>
  <r>
    <x v="50"/>
    <x v="3"/>
    <n v="63.8"/>
  </r>
  <r>
    <x v="50"/>
    <x v="4"/>
    <n v="257.7"/>
  </r>
  <r>
    <x v="51"/>
    <x v="0"/>
    <n v="121.8"/>
  </r>
  <r>
    <x v="51"/>
    <x v="1"/>
    <n v="123"/>
  </r>
  <r>
    <x v="51"/>
    <x v="2"/>
    <n v="245.7"/>
  </r>
  <r>
    <x v="51"/>
    <x v="3"/>
    <n v="62.5"/>
  </r>
  <r>
    <x v="51"/>
    <x v="4"/>
    <n v="250.6"/>
  </r>
  <r>
    <x v="52"/>
    <x v="0"/>
    <n v="113"/>
  </r>
  <r>
    <x v="52"/>
    <x v="1"/>
    <n v="123"/>
  </r>
  <r>
    <x v="52"/>
    <x v="2"/>
    <n v="246.2"/>
  </r>
  <r>
    <x v="52"/>
    <x v="3"/>
    <n v="63.8"/>
  </r>
  <r>
    <x v="52"/>
    <x v="4"/>
    <n v="274.89999999999998"/>
  </r>
  <r>
    <x v="53"/>
    <x v="0"/>
    <n v="96.9"/>
  </r>
  <r>
    <x v="53"/>
    <x v="1"/>
    <n v="108"/>
  </r>
  <r>
    <x v="53"/>
    <x v="2"/>
    <n v="236"/>
  </r>
  <r>
    <x v="53"/>
    <x v="3"/>
    <n v="60.3"/>
  </r>
  <r>
    <x v="53"/>
    <x v="4"/>
    <n v="247.3"/>
  </r>
  <r>
    <x v="54"/>
    <x v="0"/>
    <n v="97.8"/>
  </r>
  <r>
    <x v="54"/>
    <x v="1"/>
    <n v="94.5"/>
  </r>
  <r>
    <x v="54"/>
    <x v="2"/>
    <n v="230.1"/>
  </r>
  <r>
    <x v="54"/>
    <x v="3"/>
    <n v="57.9"/>
  </r>
  <r>
    <x v="54"/>
    <x v="4"/>
    <n v="215.8"/>
  </r>
  <r>
    <x v="55"/>
    <x v="0"/>
    <n v="112.8"/>
  </r>
  <r>
    <x v="55"/>
    <x v="1"/>
    <n v="125.5"/>
  </r>
  <r>
    <x v="55"/>
    <x v="2"/>
    <n v="232.5"/>
  </r>
  <r>
    <x v="55"/>
    <x v="3"/>
    <n v="74.2"/>
  </r>
  <r>
    <x v="55"/>
    <x v="4"/>
    <n v="280.7"/>
  </r>
  <r>
    <x v="56"/>
    <x v="0"/>
    <n v="118.6"/>
  </r>
  <r>
    <x v="56"/>
    <x v="1"/>
    <n v="131.1"/>
  </r>
  <r>
    <x v="56"/>
    <x v="2"/>
    <n v="232.8"/>
  </r>
  <r>
    <x v="56"/>
    <x v="3"/>
    <n v="76.900000000000006"/>
  </r>
  <r>
    <x v="56"/>
    <x v="4"/>
    <n v="276.60000000000002"/>
  </r>
  <r>
    <x v="57"/>
    <x v="0"/>
    <n v="121.2"/>
  </r>
  <r>
    <x v="57"/>
    <x v="1"/>
    <n v="132.1"/>
  </r>
  <r>
    <x v="57"/>
    <x v="2"/>
    <n v="235.6"/>
  </r>
  <r>
    <x v="57"/>
    <x v="3"/>
    <n v="76.900000000000006"/>
  </r>
  <r>
    <x v="57"/>
    <x v="4"/>
    <n v="277.3"/>
  </r>
  <r>
    <x v="58"/>
    <x v="0"/>
    <n v="123.3"/>
  </r>
  <r>
    <x v="58"/>
    <x v="1"/>
    <n v="134.5"/>
  </r>
  <r>
    <x v="58"/>
    <x v="2"/>
    <n v="232.7"/>
  </r>
  <r>
    <x v="58"/>
    <x v="3"/>
    <n v="79.2"/>
  </r>
  <r>
    <x v="58"/>
    <x v="4"/>
    <n v="293.2"/>
  </r>
  <r>
    <x v="59"/>
    <x v="0"/>
    <n v="120.9"/>
  </r>
  <r>
    <x v="59"/>
    <x v="1"/>
    <n v="133.6"/>
  </r>
  <r>
    <x v="59"/>
    <x v="2"/>
    <n v="235"/>
  </r>
  <r>
    <x v="59"/>
    <x v="3"/>
    <n v="82"/>
  </r>
  <r>
    <x v="59"/>
    <x v="4"/>
    <n v="304.8"/>
  </r>
  <r>
    <x v="60"/>
    <x v="0"/>
    <n v="122.1"/>
  </r>
  <r>
    <x v="60"/>
    <x v="1"/>
    <n v="133"/>
  </r>
  <r>
    <x v="60"/>
    <x v="2"/>
    <n v="234.6"/>
  </r>
  <r>
    <x v="60"/>
    <x v="3"/>
    <n v="80.400000000000006"/>
  </r>
  <r>
    <x v="60"/>
    <x v="4"/>
    <n v="297"/>
  </r>
  <r>
    <x v="61"/>
    <x v="0"/>
    <n v="113.8"/>
  </r>
  <r>
    <x v="61"/>
    <x v="1"/>
    <n v="124.6"/>
  </r>
  <r>
    <x v="61"/>
    <x v="2"/>
    <n v="231"/>
  </r>
  <r>
    <x v="61"/>
    <x v="3"/>
    <n v="78"/>
  </r>
  <r>
    <x v="61"/>
    <x v="4"/>
    <n v="308"/>
  </r>
  <r>
    <x v="62"/>
    <x v="0"/>
    <n v="213.9"/>
  </r>
  <r>
    <x v="62"/>
    <x v="1"/>
    <n v="179.6"/>
  </r>
  <r>
    <x v="62"/>
    <x v="2"/>
    <n v="225.8"/>
  </r>
  <r>
    <x v="62"/>
    <x v="3"/>
    <n v="98.5"/>
  </r>
  <r>
    <x v="62"/>
    <x v="4"/>
    <n v="326.89999999999998"/>
  </r>
  <r>
    <x v="63"/>
    <x v="0"/>
    <n v="220.3"/>
  </r>
  <r>
    <x v="63"/>
    <x v="1"/>
    <n v="186.1"/>
  </r>
  <r>
    <x v="63"/>
    <x v="2"/>
    <n v="228.5"/>
  </r>
  <r>
    <x v="63"/>
    <x v="3"/>
    <n v="99.3"/>
  </r>
  <r>
    <x v="63"/>
    <x v="4"/>
    <n v="328.4"/>
  </r>
  <r>
    <x v="64"/>
    <x v="0"/>
    <n v="222.9"/>
  </r>
  <r>
    <x v="64"/>
    <x v="1"/>
    <n v="185.6"/>
  </r>
  <r>
    <x v="64"/>
    <x v="2"/>
    <n v="225"/>
  </r>
  <r>
    <x v="64"/>
    <x v="3"/>
    <n v="102.4"/>
  </r>
  <r>
    <x v="64"/>
    <x v="4"/>
    <n v="335.1"/>
  </r>
  <r>
    <x v="65"/>
    <x v="0"/>
    <n v="219.3"/>
  </r>
  <r>
    <x v="65"/>
    <x v="1"/>
    <n v="184.2"/>
  </r>
  <r>
    <x v="65"/>
    <x v="2"/>
    <n v="226.6"/>
  </r>
  <r>
    <x v="65"/>
    <x v="3"/>
    <n v="102.6"/>
  </r>
  <r>
    <x v="65"/>
    <x v="4"/>
    <n v="301.8"/>
  </r>
  <r>
    <x v="66"/>
    <x v="0"/>
    <n v="197.7"/>
  </r>
  <r>
    <x v="66"/>
    <x v="1"/>
    <n v="179.5"/>
  </r>
  <r>
    <x v="66"/>
    <x v="2"/>
    <n v="222"/>
  </r>
  <r>
    <x v="66"/>
    <x v="3"/>
    <n v="100.9"/>
  </r>
  <r>
    <x v="66"/>
    <x v="4"/>
    <n v="276.3"/>
  </r>
  <r>
    <x v="67"/>
    <x v="0"/>
    <n v="165.1"/>
  </r>
  <r>
    <x v="67"/>
    <x v="1"/>
    <n v="169.3"/>
  </r>
  <r>
    <x v="67"/>
    <x v="2"/>
    <n v="210.8"/>
  </r>
  <r>
    <x v="67"/>
    <x v="3"/>
    <n v="94.6"/>
  </r>
  <r>
    <x v="67"/>
    <x v="4"/>
    <n v="261.3"/>
  </r>
  <r>
    <x v="68"/>
    <x v="0"/>
    <n v="122.6"/>
  </r>
  <r>
    <x v="68"/>
    <x v="1"/>
    <n v="143"/>
  </r>
  <r>
    <x v="68"/>
    <x v="2"/>
    <n v="197.9"/>
  </r>
  <r>
    <x v="68"/>
    <x v="3"/>
    <n v="84.7"/>
  </r>
  <r>
    <x v="68"/>
    <x v="4"/>
    <n v="244.4"/>
  </r>
  <r>
    <x v="69"/>
    <x v="0"/>
    <n v="245.9"/>
  </r>
  <r>
    <x v="69"/>
    <x v="1"/>
    <n v="194.3"/>
  </r>
  <r>
    <x v="69"/>
    <x v="2"/>
    <n v="242.2"/>
  </r>
  <r>
    <x v="69"/>
    <x v="3"/>
    <n v="116.6"/>
  </r>
  <r>
    <x v="69"/>
    <x v="4"/>
    <n v="422.1"/>
  </r>
  <r>
    <x v="70"/>
    <x v="0"/>
    <n v="253.7"/>
  </r>
  <r>
    <x v="70"/>
    <x v="1"/>
    <n v="211.3"/>
  </r>
  <r>
    <x v="70"/>
    <x v="2"/>
    <n v="251.4"/>
  </r>
  <r>
    <x v="70"/>
    <x v="3"/>
    <n v="129"/>
  </r>
  <r>
    <x v="70"/>
    <x v="4"/>
    <n v="428.8"/>
  </r>
  <r>
    <x v="71"/>
    <x v="0"/>
    <n v="264.8"/>
  </r>
  <r>
    <x v="71"/>
    <x v="1"/>
    <n v="208.1"/>
  </r>
  <r>
    <x v="71"/>
    <x v="2"/>
    <n v="256.8"/>
  </r>
  <r>
    <x v="71"/>
    <x v="3"/>
    <n v="130.4"/>
  </r>
  <r>
    <x v="71"/>
    <x v="4"/>
    <n v="406.8"/>
  </r>
  <r>
    <x v="72"/>
    <x v="0"/>
    <n v="229.6"/>
  </r>
  <r>
    <x v="72"/>
    <x v="1"/>
    <n v="183.2"/>
  </r>
  <r>
    <x v="72"/>
    <x v="2"/>
    <n v="219.3"/>
  </r>
  <r>
    <x v="72"/>
    <x v="3"/>
    <n v="115.2"/>
  </r>
  <r>
    <x v="72"/>
    <x v="4"/>
    <n v="372.2"/>
  </r>
  <r>
    <x v="73"/>
    <x v="0"/>
    <n v="220.4"/>
  </r>
  <r>
    <x v="73"/>
    <x v="1"/>
    <n v="177.2"/>
  </r>
  <r>
    <x v="73"/>
    <x v="2"/>
    <n v="218.3"/>
  </r>
  <r>
    <x v="73"/>
    <x v="3"/>
    <n v="109.3"/>
  </r>
  <r>
    <x v="73"/>
    <x v="4"/>
    <n v="357.5"/>
  </r>
  <r>
    <x v="74"/>
    <x v="0"/>
    <n v="206.3"/>
  </r>
  <r>
    <x v="74"/>
    <x v="1"/>
    <n v="157.80000000000001"/>
  </r>
  <r>
    <x v="74"/>
    <x v="2"/>
    <n v="198.7"/>
  </r>
  <r>
    <x v="74"/>
    <x v="3"/>
    <n v="100.7"/>
  </r>
  <r>
    <x v="74"/>
    <x v="4"/>
    <n v="359.1"/>
  </r>
  <r>
    <x v="75"/>
    <x v="0"/>
    <n v="210.9"/>
  </r>
  <r>
    <x v="75"/>
    <x v="1"/>
    <n v="153.9"/>
  </r>
  <r>
    <x v="75"/>
    <x v="2"/>
    <n v="159.30000000000001"/>
  </r>
  <r>
    <x v="75"/>
    <x v="3"/>
    <n v="98.9"/>
  </r>
  <r>
    <x v="75"/>
    <x v="4"/>
    <n v="364.1"/>
  </r>
  <r>
    <x v="76"/>
    <x v="0"/>
    <n v="122.1"/>
  </r>
  <r>
    <x v="76"/>
    <x v="1"/>
    <n v="128.19999999999999"/>
  </r>
  <r>
    <x v="76"/>
    <x v="2"/>
    <n v="205.5"/>
  </r>
  <r>
    <x v="76"/>
    <x v="3"/>
    <n v="91.9"/>
  </r>
  <r>
    <x v="76"/>
    <x v="4"/>
    <n v="342.3"/>
  </r>
  <r>
    <x v="77"/>
    <x v="0"/>
    <n v="129"/>
  </r>
  <r>
    <x v="77"/>
    <x v="1"/>
    <n v="138.6"/>
  </r>
  <r>
    <x v="77"/>
    <x v="2"/>
    <n v="216.8"/>
  </r>
  <r>
    <x v="77"/>
    <x v="3"/>
    <n v="99.3"/>
  </r>
  <r>
    <x v="77"/>
    <x v="4"/>
    <n v="362"/>
  </r>
  <r>
    <x v="78"/>
    <x v="0"/>
    <n v="108.6"/>
  </r>
  <r>
    <x v="78"/>
    <x v="1"/>
    <n v="141.69999999999999"/>
  </r>
  <r>
    <x v="78"/>
    <x v="2"/>
    <n v="221.1"/>
  </r>
  <r>
    <x v="78"/>
    <x v="3"/>
    <n v="106.7"/>
  </r>
  <r>
    <x v="78"/>
    <x v="4"/>
    <n v="380.7"/>
  </r>
  <r>
    <x v="79"/>
    <x v="0"/>
    <n v="126.4"/>
  </r>
  <r>
    <x v="79"/>
    <x v="1"/>
    <n v="144.5"/>
  </r>
  <r>
    <x v="79"/>
    <x v="2"/>
    <n v="226.7"/>
  </r>
  <r>
    <x v="79"/>
    <x v="3"/>
    <n v="111.4"/>
  </r>
  <r>
    <x v="79"/>
    <x v="4"/>
    <n v="387.1"/>
  </r>
  <r>
    <x v="80"/>
    <x v="0"/>
    <n v="132.69999999999999"/>
  </r>
  <r>
    <x v="80"/>
    <x v="1"/>
    <n v="146.69999999999999"/>
  </r>
  <r>
    <x v="80"/>
    <x v="2"/>
    <n v="226.5"/>
  </r>
  <r>
    <x v="80"/>
    <x v="3"/>
    <n v="109.7"/>
  </r>
  <r>
    <x v="80"/>
    <x v="4"/>
    <n v="387.1"/>
  </r>
  <r>
    <x v="81"/>
    <x v="0"/>
    <n v="133.30000000000001"/>
  </r>
  <r>
    <x v="81"/>
    <x v="1"/>
    <n v="143.30000000000001"/>
  </r>
  <r>
    <x v="81"/>
    <x v="2"/>
    <n v="228.3"/>
  </r>
  <r>
    <x v="81"/>
    <x v="3"/>
    <n v="103.2"/>
  </r>
  <r>
    <x v="81"/>
    <x v="4"/>
    <n v="364"/>
  </r>
  <r>
    <x v="82"/>
    <x v="0"/>
    <n v="126.3"/>
  </r>
  <r>
    <x v="82"/>
    <x v="1"/>
    <n v="132.9"/>
  </r>
  <r>
    <x v="82"/>
    <x v="2"/>
    <n v="224.7"/>
  </r>
  <r>
    <x v="82"/>
    <x v="3"/>
    <n v="98.7"/>
  </r>
  <r>
    <x v="82"/>
    <x v="4"/>
    <n v="358.7"/>
  </r>
  <r>
    <x v="83"/>
    <x v="0"/>
    <n v="86.3"/>
  </r>
  <r>
    <x v="83"/>
    <x v="1"/>
    <n v="93"/>
  </r>
  <r>
    <x v="83"/>
    <x v="2"/>
    <n v="178.7"/>
  </r>
  <r>
    <x v="83"/>
    <x v="3"/>
    <n v="46.1"/>
  </r>
  <r>
    <x v="83"/>
    <x v="4"/>
    <n v="240.8"/>
  </r>
  <r>
    <x v="84"/>
    <x v="0"/>
    <n v="74.7"/>
  </r>
  <r>
    <x v="84"/>
    <x v="1"/>
    <n v="92"/>
  </r>
  <r>
    <x v="84"/>
    <x v="2"/>
    <n v="171.9"/>
  </r>
  <r>
    <x v="84"/>
    <x v="3"/>
    <n v="48.7"/>
  </r>
  <r>
    <x v="84"/>
    <x v="4"/>
    <n v="247.4"/>
  </r>
  <r>
    <x v="85"/>
    <x v="0"/>
    <n v="69.599999999999994"/>
  </r>
  <r>
    <x v="85"/>
    <x v="1"/>
    <n v="85.9"/>
  </r>
  <r>
    <x v="85"/>
    <x v="2"/>
    <n v="171.4"/>
  </r>
  <r>
    <x v="85"/>
    <x v="3"/>
    <n v="46"/>
  </r>
  <r>
    <x v="85"/>
    <x v="4"/>
    <n v="241.6"/>
  </r>
  <r>
    <x v="86"/>
    <x v="0"/>
    <n v="63.1"/>
  </r>
  <r>
    <x v="86"/>
    <x v="1"/>
    <n v="76.7"/>
  </r>
  <r>
    <x v="86"/>
    <x v="2"/>
    <n v="161.19999999999999"/>
  </r>
  <r>
    <x v="86"/>
    <x v="3"/>
    <n v="46.1"/>
  </r>
  <r>
    <x v="86"/>
    <x v="4"/>
    <n v="239.9"/>
  </r>
  <r>
    <x v="87"/>
    <x v="0"/>
    <n v="66.900000000000006"/>
  </r>
  <r>
    <x v="87"/>
    <x v="1"/>
    <n v="74.7"/>
  </r>
  <r>
    <x v="87"/>
    <x v="2"/>
    <n v="127.9"/>
  </r>
  <r>
    <x v="87"/>
    <x v="3"/>
    <n v="44.1"/>
  </r>
  <r>
    <x v="87"/>
    <x v="4"/>
    <n v="238.9"/>
  </r>
  <r>
    <x v="88"/>
    <x v="0"/>
    <n v="57.6"/>
  </r>
  <r>
    <x v="88"/>
    <x v="1"/>
    <n v="65.900000000000006"/>
  </r>
  <r>
    <x v="88"/>
    <x v="2"/>
    <n v="105.8"/>
  </r>
  <r>
    <x v="88"/>
    <x v="3"/>
    <n v="44.4"/>
  </r>
  <r>
    <x v="88"/>
    <x v="4"/>
    <n v="21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80492C-86C2-4A95-BA31-4CF1E766D044}"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0:I110" firstHeaderRow="1" firstDataRow="1" firstDataCol="1"/>
  <pivotFields count="5">
    <pivotField axis="axisRow" numFmtId="22"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items count="6">
        <item h="1" x="3"/>
        <item x="1"/>
        <item h="1" x="0"/>
        <item h="1" x="2"/>
        <item h="1" x="4"/>
        <item t="default"/>
      </items>
    </pivotField>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2">
    <field x="3"/>
    <field x="0"/>
  </rowFields>
  <rowItems count="90">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t="grand">
      <x/>
    </i>
  </rowItems>
  <colItems count="1">
    <i/>
  </colItems>
  <dataFields count="1">
    <dataField name="Sum of Deman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DB5543-6A40-44F1-BDB4-ABFCC090C406}"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8:F20" firstHeaderRow="1" firstDataRow="1" firstDataCol="1"/>
  <pivotFields count="5">
    <pivotField axis="axisRow" numFmtId="22"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items count="6">
        <item h="1" x="3"/>
        <item h="1" x="1"/>
        <item x="0"/>
        <item h="1" x="2"/>
        <item h="1" x="4"/>
        <item t="default"/>
      </items>
    </pivotField>
    <pivotField dataField="1" showAll="0"/>
    <pivotField axis="axisRow" showAll="0" measureFilter="1"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h="1" sd="0" x="0"/>
        <item h="1" sd="0" x="1"/>
        <item h="1" sd="0" x="2"/>
        <item sd="0" x="3"/>
        <item h="1" sd="0" x="4"/>
        <item h="1" sd="0" x="5"/>
        <item h="1" sd="0" x="6"/>
        <item h="1" sd="0" x="7"/>
        <item h="1" sd="0" x="8"/>
        <item h="1" sd="0" x="9"/>
        <item h="1" sd="0" x="10"/>
        <item h="1" sd="0" x="11"/>
        <item h="1" sd="0" x="12"/>
        <item h="1" sd="0" x="13"/>
      </items>
    </pivotField>
  </pivotFields>
  <rowFields count="3">
    <field x="3"/>
    <field x="4"/>
    <field x="0"/>
  </rowFields>
  <rowItems count="12">
    <i>
      <x v="68"/>
    </i>
    <i>
      <x v="69"/>
    </i>
    <i>
      <x v="70"/>
    </i>
    <i>
      <x v="71"/>
    </i>
    <i r="1">
      <x v="3"/>
    </i>
    <i>
      <x v="72"/>
    </i>
    <i>
      <x v="73"/>
    </i>
    <i>
      <x v="74"/>
    </i>
    <i>
      <x v="89"/>
    </i>
    <i>
      <x v="90"/>
    </i>
    <i>
      <x v="91"/>
    </i>
    <i t="grand">
      <x/>
    </i>
  </rowItems>
  <colItems count="1">
    <i/>
  </colItems>
  <dataFields count="1">
    <dataField name="Sum of Demand"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C3A320-B39E-45A6-A6BB-7D1F63164EAF}"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C13" firstHeaderRow="1" firstDataRow="2" firstDataCol="1"/>
  <pivotFields count="5">
    <pivotField axis="axisRow" numFmtId="22"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axis="axisCol" showAll="0">
      <items count="6">
        <item h="1" x="3"/>
        <item h="1" x="1"/>
        <item x="0"/>
        <item h="1" x="2"/>
        <item h="1" x="4"/>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4"/>
    <field x="0"/>
  </rowFields>
  <rowItems count="4">
    <i>
      <x v="3"/>
    </i>
    <i>
      <x v="4"/>
    </i>
    <i>
      <x v="5"/>
    </i>
    <i t="grand">
      <x/>
    </i>
  </rowItems>
  <colFields count="1">
    <field x="1"/>
  </colFields>
  <colItems count="2">
    <i>
      <x v="2"/>
    </i>
    <i t="grand">
      <x/>
    </i>
  </colItems>
  <dataFields count="1">
    <dataField name="Average of Demand" fld="2" subtotal="average"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DBA781-A1EF-44C4-A72C-FC563525A49D}"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F5" firstHeaderRow="0" firstDataRow="1" firstDataCol="1"/>
  <pivotFields count="8">
    <pivotField axis="axisRow" numFmtId="22"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dataField="1" showAll="0">
      <items count="85">
        <item x="83"/>
        <item x="81"/>
        <item x="82"/>
        <item x="80"/>
        <item x="79"/>
        <item x="14"/>
        <item x="78"/>
        <item x="13"/>
        <item x="15"/>
        <item x="25"/>
        <item x="37"/>
        <item x="16"/>
        <item x="49"/>
        <item x="50"/>
        <item x="21"/>
        <item x="22"/>
        <item x="20"/>
        <item x="24"/>
        <item x="34"/>
        <item x="19"/>
        <item x="33"/>
        <item x="23"/>
        <item x="0"/>
        <item x="17"/>
        <item x="1"/>
        <item x="36"/>
        <item x="5"/>
        <item x="35"/>
        <item x="2"/>
        <item x="73"/>
        <item x="18"/>
        <item x="3"/>
        <item x="4"/>
        <item x="51"/>
        <item x="48"/>
        <item x="57"/>
        <item x="26"/>
        <item x="52"/>
        <item x="55"/>
        <item x="53"/>
        <item x="32"/>
        <item x="45"/>
        <item x="56"/>
        <item x="64"/>
        <item x="54"/>
        <item x="27"/>
        <item x="46"/>
        <item x="47"/>
        <item x="77"/>
        <item x="74"/>
        <item x="28"/>
        <item x="72"/>
        <item x="29"/>
        <item x="31"/>
        <item x="30"/>
        <item x="75"/>
        <item x="76"/>
        <item x="63"/>
        <item x="62"/>
        <item x="70"/>
        <item x="71"/>
        <item x="58"/>
        <item x="61"/>
        <item x="59"/>
        <item x="69"/>
        <item x="60"/>
        <item x="68"/>
        <item x="12"/>
        <item x="6"/>
        <item x="65"/>
        <item x="38"/>
        <item x="39"/>
        <item x="66"/>
        <item x="7"/>
        <item x="10"/>
        <item x="11"/>
        <item x="67"/>
        <item x="8"/>
        <item x="9"/>
        <item x="41"/>
        <item x="40"/>
        <item x="43"/>
        <item x="42"/>
        <item x="44"/>
        <item t="default"/>
      </items>
    </pivotField>
    <pivotField dataField="1" showAll="0"/>
    <pivotField dataField="1"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0"/>
  </rowFields>
  <rowItems count="4">
    <i>
      <x v="3"/>
    </i>
    <i>
      <x v="4"/>
    </i>
    <i>
      <x v="5"/>
    </i>
    <i t="grand">
      <x/>
    </i>
  </rowItems>
  <colFields count="1">
    <field x="-2"/>
  </colFields>
  <colItems count="5">
    <i>
      <x/>
    </i>
    <i i="1">
      <x v="1"/>
    </i>
    <i i="2">
      <x v="2"/>
    </i>
    <i i="3">
      <x v="3"/>
    </i>
    <i i="4">
      <x v="4"/>
    </i>
  </colItems>
  <dataFields count="5">
    <dataField name="Sum of Delhi" fld="4" baseField="0" baseItem="0"/>
    <dataField name="Sum of Rajasthan" fld="3" baseField="0" baseItem="0"/>
    <dataField name="Sum of Punjab" fld="1" baseField="0" baseItem="0"/>
    <dataField name="Sum of UP" fld="5" baseField="0" baseItem="0"/>
    <dataField name="Sum of Haryana" fld="2" baseField="0" baseItem="0"/>
  </dataFields>
  <chartFormats count="11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 chart="5" format="4" series="1">
      <pivotArea type="data" outline="0" fieldPosition="0">
        <references count="1">
          <reference field="4294967294" count="1" selected="0">
            <x v="4"/>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7" format="4" series="1">
      <pivotArea type="data" outline="0" fieldPosition="0">
        <references count="1">
          <reference field="4294967294" count="1" selected="0">
            <x v="4"/>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4"/>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9" format="4" series="1">
      <pivotArea type="data" outline="0" fieldPosition="0">
        <references count="1">
          <reference field="4294967294" count="1" selected="0">
            <x v="4"/>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3"/>
          </reference>
        </references>
      </pivotArea>
    </chartFormat>
    <chartFormat chart="10" format="4" series="1">
      <pivotArea type="data" outline="0" fieldPosition="0">
        <references count="1">
          <reference field="4294967294" count="1" selected="0">
            <x v="4"/>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11" format="4" series="1">
      <pivotArea type="data" outline="0" fieldPosition="0">
        <references count="1">
          <reference field="4294967294" count="1" selected="0">
            <x v="4"/>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 chart="12" format="4" series="1">
      <pivotArea type="data" outline="0" fieldPosition="0">
        <references count="1">
          <reference field="4294967294" count="1" selected="0">
            <x v="4"/>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3" format="3" series="1">
      <pivotArea type="data" outline="0" fieldPosition="0">
        <references count="1">
          <reference field="4294967294" count="1" selected="0">
            <x v="3"/>
          </reference>
        </references>
      </pivotArea>
    </chartFormat>
    <chartFormat chart="13" format="4" series="1">
      <pivotArea type="data" outline="0" fieldPosition="0">
        <references count="1">
          <reference field="4294967294" count="1" selected="0">
            <x v="4"/>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4" format="4" series="1">
      <pivotArea type="data" outline="0" fieldPosition="0">
        <references count="1">
          <reference field="4294967294" count="1" selected="0">
            <x v="4"/>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5" format="3" series="1">
      <pivotArea type="data" outline="0" fieldPosition="0">
        <references count="1">
          <reference field="4294967294" count="1" selected="0">
            <x v="3"/>
          </reference>
        </references>
      </pivotArea>
    </chartFormat>
    <chartFormat chart="15" format="4" series="1">
      <pivotArea type="data" outline="0" fieldPosition="0">
        <references count="1">
          <reference field="4294967294" count="1" selected="0">
            <x v="4"/>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16" format="3" series="1">
      <pivotArea type="data" outline="0" fieldPosition="0">
        <references count="1">
          <reference field="4294967294" count="1" selected="0">
            <x v="3"/>
          </reference>
        </references>
      </pivotArea>
    </chartFormat>
    <chartFormat chart="16" format="4" series="1">
      <pivotArea type="data" outline="0" fieldPosition="0">
        <references count="1">
          <reference field="4294967294" count="1" selected="0">
            <x v="4"/>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17" format="3" series="1">
      <pivotArea type="data" outline="0" fieldPosition="0">
        <references count="1">
          <reference field="4294967294" count="1" selected="0">
            <x v="3"/>
          </reference>
        </references>
      </pivotArea>
    </chartFormat>
    <chartFormat chart="17" format="4" series="1">
      <pivotArea type="data" outline="0" fieldPosition="0">
        <references count="1">
          <reference field="4294967294" count="1" selected="0">
            <x v="4"/>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8" format="3" series="1">
      <pivotArea type="data" outline="0" fieldPosition="0">
        <references count="1">
          <reference field="4294967294" count="1" selected="0">
            <x v="3"/>
          </reference>
        </references>
      </pivotArea>
    </chartFormat>
    <chartFormat chart="18" format="4" series="1">
      <pivotArea type="data" outline="0" fieldPosition="0">
        <references count="1">
          <reference field="4294967294" count="1" selected="0">
            <x v="4"/>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19" format="3" series="1">
      <pivotArea type="data" outline="0" fieldPosition="0">
        <references count="1">
          <reference field="4294967294" count="1" selected="0">
            <x v="3"/>
          </reference>
        </references>
      </pivotArea>
    </chartFormat>
    <chartFormat chart="19" format="4" series="1">
      <pivotArea type="data" outline="0" fieldPosition="0">
        <references count="1">
          <reference field="4294967294" count="1" selected="0">
            <x v="4"/>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2"/>
          </reference>
        </references>
      </pivotArea>
    </chartFormat>
    <chartFormat chart="20" format="3" series="1">
      <pivotArea type="data" outline="0" fieldPosition="0">
        <references count="1">
          <reference field="4294967294" count="1" selected="0">
            <x v="3"/>
          </reference>
        </references>
      </pivotArea>
    </chartFormat>
    <chartFormat chart="20" format="4" series="1">
      <pivotArea type="data" outline="0" fieldPosition="0">
        <references count="1">
          <reference field="4294967294" count="1" selected="0">
            <x v="4"/>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3"/>
          </reference>
        </references>
      </pivotArea>
    </chartFormat>
    <chartFormat chart="21" format="4" series="1">
      <pivotArea type="data" outline="0" fieldPosition="0">
        <references count="1">
          <reference field="4294967294" count="1" selected="0">
            <x v="4"/>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series="1">
      <pivotArea type="data" outline="0" fieldPosition="0">
        <references count="1">
          <reference field="4294967294" count="1" selected="0">
            <x v="2"/>
          </reference>
        </references>
      </pivotArea>
    </chartFormat>
    <chartFormat chart="22" format="3" series="1">
      <pivotArea type="data" outline="0" fieldPosition="0">
        <references count="1">
          <reference field="4294967294" count="1" selected="0">
            <x v="3"/>
          </reference>
        </references>
      </pivotArea>
    </chartFormat>
    <chartFormat chart="22" format="4" series="1">
      <pivotArea type="data" outline="0" fieldPosition="0">
        <references count="1">
          <reference field="4294967294" count="1" selected="0">
            <x v="4"/>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3" format="3" series="1">
      <pivotArea type="data" outline="0" fieldPosition="0">
        <references count="1">
          <reference field="4294967294" count="1" selected="0">
            <x v="3"/>
          </reference>
        </references>
      </pivotArea>
    </chartFormat>
    <chartFormat chart="23" format="4" series="1">
      <pivotArea type="data" outline="0" fieldPosition="0">
        <references count="1">
          <reference field="4294967294" count="1" selected="0">
            <x v="4"/>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2"/>
          </reference>
        </references>
      </pivotArea>
    </chartFormat>
    <chartFormat chart="29" format="3" series="1">
      <pivotArea type="data" outline="0" fieldPosition="0">
        <references count="1">
          <reference field="4294967294" count="1" selected="0">
            <x v="3"/>
          </reference>
        </references>
      </pivotArea>
    </chartFormat>
    <chartFormat chart="29"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55FA0D-E889-4904-8694-D26A7C5ACC70}" autoFormatId="16" applyNumberFormats="0" applyBorderFormats="0" applyFontFormats="0" applyPatternFormats="0" applyAlignmentFormats="0" applyWidthHeightFormats="0">
  <queryTableRefresh nextId="4">
    <queryTableFields count="3">
      <queryTableField id="1" name="Date" tableColumnId="1"/>
      <queryTableField id="2" name="States" tableColumnId="2"/>
      <queryTableField id="3" name="Demand"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 xr10:uid="{1C786DE3-79C0-4806-BE14-05507D8649CB}" sourceName="States">
  <pivotTables>
    <pivotTable tabId="2" name="PivotTable2"/>
    <pivotTable tabId="2" name="PivotTable3"/>
  </pivotTables>
  <data>
    <tabular pivotCacheId="2068131925">
      <items count="5">
        <i x="3"/>
        <i x="1"/>
        <i x="0" s="1"/>
        <i x="2"/>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B005135-4156-4C36-8F39-C9D73EF61333}" sourceName="Months (Date)">
  <pivotTables>
    <pivotTable tabId="2" name="PivotTable3"/>
  </pivotTables>
  <data>
    <tabular pivotCacheId="2068131925">
      <items count="14">
        <i x="3" s="1"/>
        <i x="4"/>
        <i x="5"/>
        <i x="1" nd="1"/>
        <i x="2" nd="1"/>
        <i x="6" nd="1"/>
        <i x="7" nd="1"/>
        <i x="8" nd="1"/>
        <i x="9" nd="1"/>
        <i x="10" nd="1"/>
        <i x="11" nd="1"/>
        <i x="12" nd="1"/>
        <i x="0" nd="1"/>
        <i x="1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1" xr10:uid="{C786A16A-DB53-4AB2-9818-B9EDC8F3C74A}" sourceName="States">
  <pivotTables>
    <pivotTable tabId="2" name="PivotTable5"/>
  </pivotTables>
  <data>
    <tabular pivotCacheId="2068131925">
      <items count="5">
        <i x="3"/>
        <i x="1" s="1"/>
        <i x="0"/>
        <i x="2"/>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1" xr10:uid="{1DBBF7DF-3231-44E6-B21B-36EA150C2034}" cache="Slicer_States1" caption="Stat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xr10:uid="{D253BC3D-DEEE-4366-BF6F-AC0AB7C2B1A1}" cache="Slicer_States" caption="States" style="SlicerStyleLight4" rowHeight="234950"/>
  <slicer name="Months (Date)" xr10:uid="{39B8E885-F3A3-45B4-AF6D-E0B5127C263A}" cache="Slicer_Months__Date" caption="Months (Date)"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34E2E6-8BEB-4188-A71F-0D9A2477DEE4}" name="data1" displayName="data1" ref="A1:C446" tableType="queryTable" totalsRowShown="0">
  <autoFilter ref="A1:C446" xr:uid="{4334E2E6-8BEB-4188-A71F-0D9A2477DEE4}"/>
  <tableColumns count="3">
    <tableColumn id="1" xr3:uid="{96571E83-64DB-47D7-B8B7-F2462C4AECD1}" uniqueName="1" name="Date" queryTableFieldId="1" dataDxfId="9"/>
    <tableColumn id="2" xr3:uid="{06886F24-D85A-4657-BEC9-DDA7603BB598}" uniqueName="2" name="States" queryTableFieldId="2" dataDxfId="8"/>
    <tableColumn id="3" xr3:uid="{9EEF0F7C-E23F-4AAB-BEF9-ED8F094F5CD6}" uniqueName="3" name="Demand"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27CC60-8A87-43A5-8946-B43820CAE0AB}" name="Table7" displayName="Table7" ref="A1:E17" totalsRowShown="0">
  <autoFilter ref="A1:E17" xr:uid="{0927CC60-8A87-43A5-8946-B43820CAE0AB}"/>
  <tableColumns count="5">
    <tableColumn id="1" xr3:uid="{330C43F8-B6E1-4520-8016-02FF8CD2345C}" name="Timeline" dataDxfId="5"/>
    <tableColumn id="2" xr3:uid="{25FAF487-6349-45BC-A005-52360F4DDE84}" name="Values"/>
    <tableColumn id="3" xr3:uid="{9BB78C39-C63A-47CD-9C23-707FC36887E3}" name="Forecast">
      <calculatedColumnFormula>_xlfn.FORECAST.ETS(A2,$B$2:$B$11,$A$2:$A$11,1,1)</calculatedColumnFormula>
    </tableColumn>
    <tableColumn id="4" xr3:uid="{6F4D5654-6C19-482A-AB31-211BF262EF90}" name="Lower Confidence Bound" dataDxfId="4">
      <calculatedColumnFormula>C2-_xlfn.FORECAST.ETS.CONFINT(A2,$B$2:$B$11,$A$2:$A$11,0.95,1,1)</calculatedColumnFormula>
    </tableColumn>
    <tableColumn id="5" xr3:uid="{0FF990B4-7111-4C78-8DEA-3EBA19F52B14}" name="Upper Confidence Bound" dataDxfId="3">
      <calculatedColumnFormula>C2+_xlfn.FORECAST.ETS.CONFINT(A2,$B$2:$B$11,$A$2:$A$11,0.95,1,1)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E23C257-6A4C-4BF5-B9BB-5CD9E199C9B7}" name="Table8" displayName="Table8" ref="A1:E16" totalsRowShown="0">
  <autoFilter ref="A1:E16" xr:uid="{5E23C257-6A4C-4BF5-B9BB-5CD9E199C9B7}"/>
  <tableColumns count="5">
    <tableColumn id="1" xr3:uid="{A20FEACD-CD91-49FC-985B-3F140B8000E0}" name="Timeline" dataDxfId="2"/>
    <tableColumn id="2" xr3:uid="{8E68B8EF-9E18-4472-AAD9-CCE755D3B8DC}" name="Values"/>
    <tableColumn id="3" xr3:uid="{AB3D3C12-1E91-48A0-9E4D-A873261B7F86}" name="Forecast">
      <calculatedColumnFormula>_xlfn.FORECAST.ETS(A2,$B$2:$B$10,$A$2:$A$10,1,1)</calculatedColumnFormula>
    </tableColumn>
    <tableColumn id="4" xr3:uid="{45F93538-7DF0-4745-997E-EFC3BF1EB491}" name="Lower Confidence Bound" dataDxfId="1">
      <calculatedColumnFormula>C2-_xlfn.FORECAST.ETS.CONFINT(A2,$B$2:$B$10,$A$2:$A$10,0.95,1,1)</calculatedColumnFormula>
    </tableColumn>
    <tableColumn id="5" xr3:uid="{D3CA35F6-A8D6-4295-BCB0-9D7984767397}" name="Upper Confidence Bound" dataDxfId="0">
      <calculatedColumnFormula>C2+_xlfn.FORECAST.ETS.CONFINT(A2,$B$2:$B$10,$A$2:$A$10,0.95,1,1)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0745D6-E665-4C88-852F-6A062522B5FC}" name="data" displayName="data" ref="A1:F90" totalsRowShown="0">
  <autoFilter ref="A1:F90" xr:uid="{A90745D6-E665-4C88-852F-6A062522B5FC}"/>
  <tableColumns count="6">
    <tableColumn id="1" xr3:uid="{206924F8-BC0A-44CF-93B4-A4B4F2D50433}" name="Date" dataDxfId="10"/>
    <tableColumn id="2" xr3:uid="{B151398F-A78B-4F04-9F3E-BF2F29347E5A}" name="Punjab"/>
    <tableColumn id="3" xr3:uid="{62EAC365-967D-4C10-AC01-127886106BF7}" name="Haryana"/>
    <tableColumn id="4" xr3:uid="{9A7C97BF-A0D6-4604-9B52-28B1CB452714}" name="Rajasthan"/>
    <tableColumn id="5" xr3:uid="{7F57CFE7-85C0-4B4D-8980-AA2E1ABFCCE9}" name="Delhi"/>
    <tableColumn id="6" xr3:uid="{139ADC2E-6204-4D80-AB32-E10B8B48CF3B}" name="UP"/>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9C094E-FA7E-4E48-9470-FEE2DF506C08}" name="Table6" displayName="Table6" ref="K21:L41" totalsRowShown="0">
  <autoFilter ref="K21:L41" xr:uid="{8E9C094E-FA7E-4E48-9470-FEE2DF506C08}"/>
  <tableColumns count="2">
    <tableColumn id="1" xr3:uid="{5A7F0F8A-3CF3-4A03-81FA-0A83A9C15587}" name="Date" dataDxfId="7">
      <calculatedColumnFormula>H21</calculatedColumnFormula>
    </tableColumn>
    <tableColumn id="2" xr3:uid="{9638525D-0CB2-4C56-A5B8-50174F25D750}" name="Demand" dataDxfId="6">
      <calculatedColumnFormula>GETPIVOTDATA("Demand",$H$20,"Days (Date)",62)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5.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5481D-633C-4F3B-80F8-0CEF9DDE8D4A}">
  <dimension ref="A1:C446"/>
  <sheetViews>
    <sheetView workbookViewId="0">
      <selection activeCell="E10" sqref="E10"/>
    </sheetView>
  </sheetViews>
  <sheetFormatPr defaultRowHeight="14.4" x14ac:dyDescent="0.3"/>
  <cols>
    <col min="1" max="1" width="15.44140625" bestFit="1" customWidth="1"/>
    <col min="2" max="2" width="9" bestFit="1" customWidth="1"/>
    <col min="3" max="3" width="10.33203125" bestFit="1" customWidth="1"/>
  </cols>
  <sheetData>
    <row r="1" spans="1:3" x14ac:dyDescent="0.3">
      <c r="A1" t="s">
        <v>5</v>
      </c>
      <c r="B1" t="s">
        <v>48</v>
      </c>
      <c r="C1" t="s">
        <v>49</v>
      </c>
    </row>
    <row r="2" spans="1:3" x14ac:dyDescent="0.3">
      <c r="A2" s="1">
        <v>43526</v>
      </c>
      <c r="B2" s="4" t="s">
        <v>0</v>
      </c>
      <c r="C2">
        <v>102.9</v>
      </c>
    </row>
    <row r="3" spans="1:3" x14ac:dyDescent="0.3">
      <c r="A3" s="1">
        <v>43526</v>
      </c>
      <c r="B3" s="4" t="s">
        <v>1</v>
      </c>
      <c r="C3">
        <v>116.3</v>
      </c>
    </row>
    <row r="4" spans="1:3" x14ac:dyDescent="0.3">
      <c r="A4" s="1">
        <v>43526</v>
      </c>
      <c r="B4" s="4" t="s">
        <v>2</v>
      </c>
      <c r="C4">
        <v>240.6</v>
      </c>
    </row>
    <row r="5" spans="1:3" x14ac:dyDescent="0.3">
      <c r="A5" s="1">
        <v>43526</v>
      </c>
      <c r="B5" s="4" t="s">
        <v>3</v>
      </c>
      <c r="C5">
        <v>72.099999999999994</v>
      </c>
    </row>
    <row r="6" spans="1:3" x14ac:dyDescent="0.3">
      <c r="A6" s="1">
        <v>43526</v>
      </c>
      <c r="B6" s="4" t="s">
        <v>4</v>
      </c>
      <c r="C6">
        <v>270.39999999999998</v>
      </c>
    </row>
    <row r="7" spans="1:3" x14ac:dyDescent="0.3">
      <c r="A7" s="1">
        <v>43527</v>
      </c>
      <c r="B7" s="4" t="s">
        <v>0</v>
      </c>
      <c r="C7">
        <v>104.2</v>
      </c>
    </row>
    <row r="8" spans="1:3" x14ac:dyDescent="0.3">
      <c r="A8" s="1">
        <v>43527</v>
      </c>
      <c r="B8" s="4" t="s">
        <v>1</v>
      </c>
      <c r="C8">
        <v>123.1</v>
      </c>
    </row>
    <row r="9" spans="1:3" x14ac:dyDescent="0.3">
      <c r="A9" s="1">
        <v>43527</v>
      </c>
      <c r="B9" s="4" t="s">
        <v>2</v>
      </c>
      <c r="C9">
        <v>240.9</v>
      </c>
    </row>
    <row r="10" spans="1:3" x14ac:dyDescent="0.3">
      <c r="A10" s="1">
        <v>43527</v>
      </c>
      <c r="B10" s="4" t="s">
        <v>3</v>
      </c>
      <c r="C10">
        <v>71.8</v>
      </c>
    </row>
    <row r="11" spans="1:3" x14ac:dyDescent="0.3">
      <c r="A11" s="1">
        <v>43527</v>
      </c>
      <c r="B11" s="4" t="s">
        <v>4</v>
      </c>
      <c r="C11">
        <v>271.8</v>
      </c>
    </row>
    <row r="12" spans="1:3" x14ac:dyDescent="0.3">
      <c r="A12" s="1">
        <v>43528</v>
      </c>
      <c r="B12" s="4" t="s">
        <v>0</v>
      </c>
      <c r="C12">
        <v>106.9</v>
      </c>
    </row>
    <row r="13" spans="1:3" x14ac:dyDescent="0.3">
      <c r="A13" s="1">
        <v>43528</v>
      </c>
      <c r="B13" s="4" t="s">
        <v>1</v>
      </c>
      <c r="C13">
        <v>124</v>
      </c>
    </row>
    <row r="14" spans="1:3" x14ac:dyDescent="0.3">
      <c r="A14" s="1">
        <v>43528</v>
      </c>
      <c r="B14" s="4" t="s">
        <v>2</v>
      </c>
      <c r="C14">
        <v>240.9</v>
      </c>
    </row>
    <row r="15" spans="1:3" x14ac:dyDescent="0.3">
      <c r="A15" s="1">
        <v>43528</v>
      </c>
      <c r="B15" s="4" t="s">
        <v>3</v>
      </c>
      <c r="C15">
        <v>71.099999999999994</v>
      </c>
    </row>
    <row r="16" spans="1:3" x14ac:dyDescent="0.3">
      <c r="A16" s="1">
        <v>43528</v>
      </c>
      <c r="B16" s="4" t="s">
        <v>4</v>
      </c>
      <c r="C16">
        <v>271.2</v>
      </c>
    </row>
    <row r="17" spans="1:3" x14ac:dyDescent="0.3">
      <c r="A17" s="1">
        <v>43529</v>
      </c>
      <c r="B17" s="4" t="s">
        <v>0</v>
      </c>
      <c r="C17">
        <v>111.2</v>
      </c>
    </row>
    <row r="18" spans="1:3" x14ac:dyDescent="0.3">
      <c r="A18" s="1">
        <v>43529</v>
      </c>
      <c r="B18" s="4" t="s">
        <v>1</v>
      </c>
      <c r="C18">
        <v>125.6</v>
      </c>
    </row>
    <row r="19" spans="1:3" x14ac:dyDescent="0.3">
      <c r="A19" s="1">
        <v>43529</v>
      </c>
      <c r="B19" s="4" t="s">
        <v>2</v>
      </c>
      <c r="C19">
        <v>243.6</v>
      </c>
    </row>
    <row r="20" spans="1:3" x14ac:dyDescent="0.3">
      <c r="A20" s="1">
        <v>43529</v>
      </c>
      <c r="B20" s="4" t="s">
        <v>3</v>
      </c>
      <c r="C20">
        <v>73</v>
      </c>
    </row>
    <row r="21" spans="1:3" x14ac:dyDescent="0.3">
      <c r="A21" s="1">
        <v>43529</v>
      </c>
      <c r="B21" s="4" t="s">
        <v>4</v>
      </c>
      <c r="C21">
        <v>282.10000000000002</v>
      </c>
    </row>
    <row r="22" spans="1:3" x14ac:dyDescent="0.3">
      <c r="A22" s="1">
        <v>43530</v>
      </c>
      <c r="B22" s="4" t="s">
        <v>0</v>
      </c>
      <c r="C22">
        <v>111.6</v>
      </c>
    </row>
    <row r="23" spans="1:3" x14ac:dyDescent="0.3">
      <c r="A23" s="1">
        <v>43530</v>
      </c>
      <c r="B23" s="4" t="s">
        <v>1</v>
      </c>
      <c r="C23">
        <v>124.7</v>
      </c>
    </row>
    <row r="24" spans="1:3" x14ac:dyDescent="0.3">
      <c r="A24" s="1">
        <v>43530</v>
      </c>
      <c r="B24" s="4" t="s">
        <v>2</v>
      </c>
      <c r="C24">
        <v>243.7</v>
      </c>
    </row>
    <row r="25" spans="1:3" x14ac:dyDescent="0.3">
      <c r="A25" s="1">
        <v>43530</v>
      </c>
      <c r="B25" s="4" t="s">
        <v>3</v>
      </c>
      <c r="C25">
        <v>68</v>
      </c>
    </row>
    <row r="26" spans="1:3" x14ac:dyDescent="0.3">
      <c r="A26" s="1">
        <v>43530</v>
      </c>
      <c r="B26" s="4" t="s">
        <v>4</v>
      </c>
      <c r="C26">
        <v>276.89999999999998</v>
      </c>
    </row>
    <row r="27" spans="1:3" x14ac:dyDescent="0.3">
      <c r="A27" s="1">
        <v>43531</v>
      </c>
      <c r="B27" s="4" t="s">
        <v>0</v>
      </c>
      <c r="C27">
        <v>106.1</v>
      </c>
    </row>
    <row r="28" spans="1:3" x14ac:dyDescent="0.3">
      <c r="A28" s="1">
        <v>43531</v>
      </c>
      <c r="B28" s="4" t="s">
        <v>1</v>
      </c>
      <c r="C28">
        <v>116.3</v>
      </c>
    </row>
    <row r="29" spans="1:3" x14ac:dyDescent="0.3">
      <c r="A29" s="1">
        <v>43531</v>
      </c>
      <c r="B29" s="4" t="s">
        <v>2</v>
      </c>
      <c r="C29">
        <v>242.5</v>
      </c>
    </row>
    <row r="30" spans="1:3" x14ac:dyDescent="0.3">
      <c r="A30" s="1">
        <v>43531</v>
      </c>
      <c r="B30" s="4" t="s">
        <v>3</v>
      </c>
      <c r="C30">
        <v>67.3</v>
      </c>
    </row>
    <row r="31" spans="1:3" x14ac:dyDescent="0.3">
      <c r="A31" s="1">
        <v>43531</v>
      </c>
      <c r="B31" s="4" t="s">
        <v>4</v>
      </c>
      <c r="C31">
        <v>276.8</v>
      </c>
    </row>
    <row r="32" spans="1:3" x14ac:dyDescent="0.3">
      <c r="A32" s="1">
        <v>43532</v>
      </c>
      <c r="B32" s="4" t="s">
        <v>0</v>
      </c>
      <c r="C32">
        <v>245.8</v>
      </c>
    </row>
    <row r="33" spans="1:3" x14ac:dyDescent="0.3">
      <c r="A33" s="1">
        <v>43532</v>
      </c>
      <c r="B33" s="4" t="s">
        <v>1</v>
      </c>
      <c r="C33">
        <v>186</v>
      </c>
    </row>
    <row r="34" spans="1:3" x14ac:dyDescent="0.3">
      <c r="A34" s="1">
        <v>43532</v>
      </c>
      <c r="B34" s="4" t="s">
        <v>2</v>
      </c>
      <c r="C34">
        <v>229.7</v>
      </c>
    </row>
    <row r="35" spans="1:3" x14ac:dyDescent="0.3">
      <c r="A35" s="1">
        <v>43532</v>
      </c>
      <c r="B35" s="4" t="s">
        <v>3</v>
      </c>
      <c r="C35">
        <v>111.7</v>
      </c>
    </row>
    <row r="36" spans="1:3" x14ac:dyDescent="0.3">
      <c r="A36" s="1">
        <v>43532</v>
      </c>
      <c r="B36" s="4" t="s">
        <v>4</v>
      </c>
      <c r="C36">
        <v>362.8</v>
      </c>
    </row>
    <row r="37" spans="1:3" x14ac:dyDescent="0.3">
      <c r="A37" s="1">
        <v>43533</v>
      </c>
      <c r="B37" s="4" t="s">
        <v>0</v>
      </c>
      <c r="C37">
        <v>256.7</v>
      </c>
    </row>
    <row r="38" spans="1:3" x14ac:dyDescent="0.3">
      <c r="A38" s="1">
        <v>43533</v>
      </c>
      <c r="B38" s="4" t="s">
        <v>1</v>
      </c>
      <c r="C38">
        <v>204.4</v>
      </c>
    </row>
    <row r="39" spans="1:3" x14ac:dyDescent="0.3">
      <c r="A39" s="1">
        <v>43533</v>
      </c>
      <c r="B39" s="4" t="s">
        <v>2</v>
      </c>
      <c r="C39">
        <v>232.4</v>
      </c>
    </row>
    <row r="40" spans="1:3" x14ac:dyDescent="0.3">
      <c r="A40" s="1">
        <v>43533</v>
      </c>
      <c r="B40" s="4" t="s">
        <v>3</v>
      </c>
      <c r="C40">
        <v>121.6</v>
      </c>
    </row>
    <row r="41" spans="1:3" x14ac:dyDescent="0.3">
      <c r="A41" s="1">
        <v>43533</v>
      </c>
      <c r="B41" s="4" t="s">
        <v>4</v>
      </c>
      <c r="C41">
        <v>405.5</v>
      </c>
    </row>
    <row r="42" spans="1:3" x14ac:dyDescent="0.3">
      <c r="A42" s="1">
        <v>43534</v>
      </c>
      <c r="B42" s="4" t="s">
        <v>0</v>
      </c>
      <c r="C42">
        <v>265.3</v>
      </c>
    </row>
    <row r="43" spans="1:3" x14ac:dyDescent="0.3">
      <c r="A43" s="1">
        <v>43534</v>
      </c>
      <c r="B43" s="4" t="s">
        <v>1</v>
      </c>
      <c r="C43">
        <v>217</v>
      </c>
    </row>
    <row r="44" spans="1:3" x14ac:dyDescent="0.3">
      <c r="A44" s="1">
        <v>43534</v>
      </c>
      <c r="B44" s="4" t="s">
        <v>2</v>
      </c>
      <c r="C44">
        <v>221</v>
      </c>
    </row>
    <row r="45" spans="1:3" x14ac:dyDescent="0.3">
      <c r="A45" s="1">
        <v>43534</v>
      </c>
      <c r="B45" s="4" t="s">
        <v>3</v>
      </c>
      <c r="C45">
        <v>128</v>
      </c>
    </row>
    <row r="46" spans="1:3" x14ac:dyDescent="0.3">
      <c r="A46" s="1">
        <v>43534</v>
      </c>
      <c r="B46" s="4" t="s">
        <v>4</v>
      </c>
      <c r="C46">
        <v>429.1</v>
      </c>
    </row>
    <row r="47" spans="1:3" x14ac:dyDescent="0.3">
      <c r="A47" s="1">
        <v>43535</v>
      </c>
      <c r="B47" s="4" t="s">
        <v>0</v>
      </c>
      <c r="C47">
        <v>266.5</v>
      </c>
    </row>
    <row r="48" spans="1:3" x14ac:dyDescent="0.3">
      <c r="A48" s="1">
        <v>43535</v>
      </c>
      <c r="B48" s="4" t="s">
        <v>1</v>
      </c>
      <c r="C48">
        <v>214.8</v>
      </c>
    </row>
    <row r="49" spans="1:3" x14ac:dyDescent="0.3">
      <c r="A49" s="1">
        <v>43535</v>
      </c>
      <c r="B49" s="4" t="s">
        <v>2</v>
      </c>
      <c r="C49">
        <v>217.3</v>
      </c>
    </row>
    <row r="50" spans="1:3" x14ac:dyDescent="0.3">
      <c r="A50" s="1">
        <v>43535</v>
      </c>
      <c r="B50" s="4" t="s">
        <v>3</v>
      </c>
      <c r="C50">
        <v>132.69999999999999</v>
      </c>
    </row>
    <row r="51" spans="1:3" x14ac:dyDescent="0.3">
      <c r="A51" s="1">
        <v>43535</v>
      </c>
      <c r="B51" s="4" t="s">
        <v>4</v>
      </c>
      <c r="C51">
        <v>430.6</v>
      </c>
    </row>
    <row r="52" spans="1:3" x14ac:dyDescent="0.3">
      <c r="A52" s="1">
        <v>43536</v>
      </c>
      <c r="B52" s="4" t="s">
        <v>0</v>
      </c>
      <c r="C52">
        <v>257.89999999999998</v>
      </c>
    </row>
    <row r="53" spans="1:3" x14ac:dyDescent="0.3">
      <c r="A53" s="1">
        <v>43536</v>
      </c>
      <c r="B53" s="4" t="s">
        <v>1</v>
      </c>
      <c r="C53">
        <v>214</v>
      </c>
    </row>
    <row r="54" spans="1:3" x14ac:dyDescent="0.3">
      <c r="A54" s="1">
        <v>43536</v>
      </c>
      <c r="B54" s="4" t="s">
        <v>2</v>
      </c>
      <c r="C54">
        <v>212.7</v>
      </c>
    </row>
    <row r="55" spans="1:3" x14ac:dyDescent="0.3">
      <c r="A55" s="1">
        <v>43536</v>
      </c>
      <c r="B55" s="4" t="s">
        <v>3</v>
      </c>
      <c r="C55">
        <v>132.6</v>
      </c>
    </row>
    <row r="56" spans="1:3" x14ac:dyDescent="0.3">
      <c r="A56" s="1">
        <v>43536</v>
      </c>
      <c r="B56" s="4" t="s">
        <v>4</v>
      </c>
      <c r="C56">
        <v>431.3</v>
      </c>
    </row>
    <row r="57" spans="1:3" x14ac:dyDescent="0.3">
      <c r="A57" s="1">
        <v>43537</v>
      </c>
      <c r="B57" s="4" t="s">
        <v>0</v>
      </c>
      <c r="C57">
        <v>260.3</v>
      </c>
    </row>
    <row r="58" spans="1:3" x14ac:dyDescent="0.3">
      <c r="A58" s="1">
        <v>43537</v>
      </c>
      <c r="B58" s="4" t="s">
        <v>1</v>
      </c>
      <c r="C58">
        <v>218.3</v>
      </c>
    </row>
    <row r="59" spans="1:3" x14ac:dyDescent="0.3">
      <c r="A59" s="1">
        <v>43537</v>
      </c>
      <c r="B59" s="4" t="s">
        <v>2</v>
      </c>
      <c r="C59">
        <v>214.6</v>
      </c>
    </row>
    <row r="60" spans="1:3" x14ac:dyDescent="0.3">
      <c r="A60" s="1">
        <v>43537</v>
      </c>
      <c r="B60" s="4" t="s">
        <v>3</v>
      </c>
      <c r="C60">
        <v>129.69999999999999</v>
      </c>
    </row>
    <row r="61" spans="1:3" x14ac:dyDescent="0.3">
      <c r="A61" s="1">
        <v>43537</v>
      </c>
      <c r="B61" s="4" t="s">
        <v>4</v>
      </c>
      <c r="C61">
        <v>439.7</v>
      </c>
    </row>
    <row r="62" spans="1:3" x14ac:dyDescent="0.3">
      <c r="A62" s="1">
        <v>43538</v>
      </c>
      <c r="B62" s="4" t="s">
        <v>0</v>
      </c>
      <c r="C62">
        <v>233.4</v>
      </c>
    </row>
    <row r="63" spans="1:3" x14ac:dyDescent="0.3">
      <c r="A63" s="1">
        <v>43538</v>
      </c>
      <c r="B63" s="4" t="s">
        <v>1</v>
      </c>
      <c r="C63">
        <v>194.6</v>
      </c>
    </row>
    <row r="64" spans="1:3" x14ac:dyDescent="0.3">
      <c r="A64" s="1">
        <v>43538</v>
      </c>
      <c r="B64" s="4" t="s">
        <v>2</v>
      </c>
      <c r="C64">
        <v>203.9</v>
      </c>
    </row>
    <row r="65" spans="1:3" x14ac:dyDescent="0.3">
      <c r="A65" s="1">
        <v>43538</v>
      </c>
      <c r="B65" s="4" t="s">
        <v>3</v>
      </c>
      <c r="C65">
        <v>113.9</v>
      </c>
    </row>
    <row r="66" spans="1:3" x14ac:dyDescent="0.3">
      <c r="A66" s="1">
        <v>43538</v>
      </c>
      <c r="B66" s="4" t="s">
        <v>4</v>
      </c>
      <c r="C66">
        <v>409.2</v>
      </c>
    </row>
    <row r="67" spans="1:3" x14ac:dyDescent="0.3">
      <c r="A67" s="1">
        <v>43539</v>
      </c>
      <c r="B67" s="4" t="s">
        <v>0</v>
      </c>
      <c r="C67">
        <v>87.5</v>
      </c>
    </row>
    <row r="68" spans="1:3" x14ac:dyDescent="0.3">
      <c r="A68" s="1">
        <v>43539</v>
      </c>
      <c r="B68" s="4" t="s">
        <v>1</v>
      </c>
      <c r="C68">
        <v>87.9</v>
      </c>
    </row>
    <row r="69" spans="1:3" x14ac:dyDescent="0.3">
      <c r="A69" s="1">
        <v>43539</v>
      </c>
      <c r="B69" s="4" t="s">
        <v>2</v>
      </c>
      <c r="C69">
        <v>164</v>
      </c>
    </row>
    <row r="70" spans="1:3" x14ac:dyDescent="0.3">
      <c r="A70" s="1">
        <v>43539</v>
      </c>
      <c r="B70" s="4" t="s">
        <v>3</v>
      </c>
      <c r="C70">
        <v>57.8</v>
      </c>
    </row>
    <row r="71" spans="1:3" x14ac:dyDescent="0.3">
      <c r="A71" s="1">
        <v>43539</v>
      </c>
      <c r="B71" s="4" t="s">
        <v>4</v>
      </c>
      <c r="C71">
        <v>235.1</v>
      </c>
    </row>
    <row r="72" spans="1:3" x14ac:dyDescent="0.3">
      <c r="A72" s="1">
        <v>43540</v>
      </c>
      <c r="B72" s="4" t="s">
        <v>0</v>
      </c>
      <c r="C72">
        <v>81.5</v>
      </c>
    </row>
    <row r="73" spans="1:3" x14ac:dyDescent="0.3">
      <c r="A73" s="1">
        <v>43540</v>
      </c>
      <c r="B73" s="4" t="s">
        <v>1</v>
      </c>
      <c r="C73">
        <v>86.6</v>
      </c>
    </row>
    <row r="74" spans="1:3" x14ac:dyDescent="0.3">
      <c r="A74" s="1">
        <v>43540</v>
      </c>
      <c r="B74" s="4" t="s">
        <v>2</v>
      </c>
      <c r="C74">
        <v>165.4</v>
      </c>
    </row>
    <row r="75" spans="1:3" x14ac:dyDescent="0.3">
      <c r="A75" s="1">
        <v>43540</v>
      </c>
      <c r="B75" s="4" t="s">
        <v>3</v>
      </c>
      <c r="C75">
        <v>51.2</v>
      </c>
    </row>
    <row r="76" spans="1:3" x14ac:dyDescent="0.3">
      <c r="A76" s="1">
        <v>43540</v>
      </c>
      <c r="B76" s="4" t="s">
        <v>4</v>
      </c>
      <c r="C76">
        <v>222.1</v>
      </c>
    </row>
    <row r="77" spans="1:3" x14ac:dyDescent="0.3">
      <c r="A77" s="1">
        <v>43541</v>
      </c>
      <c r="B77" s="4" t="s">
        <v>0</v>
      </c>
      <c r="C77">
        <v>89.6</v>
      </c>
    </row>
    <row r="78" spans="1:3" x14ac:dyDescent="0.3">
      <c r="A78" s="1">
        <v>43541</v>
      </c>
      <c r="B78" s="4" t="s">
        <v>1</v>
      </c>
      <c r="C78">
        <v>93.4</v>
      </c>
    </row>
    <row r="79" spans="1:3" x14ac:dyDescent="0.3">
      <c r="A79" s="1">
        <v>43541</v>
      </c>
      <c r="B79" s="4" t="s">
        <v>2</v>
      </c>
      <c r="C79">
        <v>180.1</v>
      </c>
    </row>
    <row r="80" spans="1:3" x14ac:dyDescent="0.3">
      <c r="A80" s="1">
        <v>43541</v>
      </c>
      <c r="B80" s="4" t="s">
        <v>3</v>
      </c>
      <c r="C80">
        <v>58.4</v>
      </c>
    </row>
    <row r="81" spans="1:3" x14ac:dyDescent="0.3">
      <c r="A81" s="1">
        <v>43541</v>
      </c>
      <c r="B81" s="4" t="s">
        <v>4</v>
      </c>
      <c r="C81">
        <v>249</v>
      </c>
    </row>
    <row r="82" spans="1:3" x14ac:dyDescent="0.3">
      <c r="A82" s="1">
        <v>43542</v>
      </c>
      <c r="B82" s="4" t="s">
        <v>0</v>
      </c>
      <c r="C82">
        <v>96.5</v>
      </c>
    </row>
    <row r="83" spans="1:3" x14ac:dyDescent="0.3">
      <c r="A83" s="1">
        <v>43542</v>
      </c>
      <c r="B83" s="4" t="s">
        <v>1</v>
      </c>
      <c r="C83">
        <v>102.4</v>
      </c>
    </row>
    <row r="84" spans="1:3" x14ac:dyDescent="0.3">
      <c r="A84" s="1">
        <v>43542</v>
      </c>
      <c r="B84" s="4" t="s">
        <v>2</v>
      </c>
      <c r="C84">
        <v>188.8</v>
      </c>
    </row>
    <row r="85" spans="1:3" x14ac:dyDescent="0.3">
      <c r="A85" s="1">
        <v>43542</v>
      </c>
      <c r="B85" s="4" t="s">
        <v>3</v>
      </c>
      <c r="C85">
        <v>63</v>
      </c>
    </row>
    <row r="86" spans="1:3" x14ac:dyDescent="0.3">
      <c r="A86" s="1">
        <v>43542</v>
      </c>
      <c r="B86" s="4" t="s">
        <v>4</v>
      </c>
      <c r="C86">
        <v>276.39999999999998</v>
      </c>
    </row>
    <row r="87" spans="1:3" x14ac:dyDescent="0.3">
      <c r="A87" s="1">
        <v>43543</v>
      </c>
      <c r="B87" s="4" t="s">
        <v>0</v>
      </c>
      <c r="C87">
        <v>103.4</v>
      </c>
    </row>
    <row r="88" spans="1:3" x14ac:dyDescent="0.3">
      <c r="A88" s="1">
        <v>43543</v>
      </c>
      <c r="B88" s="4" t="s">
        <v>1</v>
      </c>
      <c r="C88">
        <v>108.4</v>
      </c>
    </row>
    <row r="89" spans="1:3" x14ac:dyDescent="0.3">
      <c r="A89" s="1">
        <v>43543</v>
      </c>
      <c r="B89" s="4" t="s">
        <v>2</v>
      </c>
      <c r="C89">
        <v>190.9</v>
      </c>
    </row>
    <row r="90" spans="1:3" x14ac:dyDescent="0.3">
      <c r="A90" s="1">
        <v>43543</v>
      </c>
      <c r="B90" s="4" t="s">
        <v>3</v>
      </c>
      <c r="C90">
        <v>66.099999999999994</v>
      </c>
    </row>
    <row r="91" spans="1:3" x14ac:dyDescent="0.3">
      <c r="A91" s="1">
        <v>43543</v>
      </c>
      <c r="B91" s="4" t="s">
        <v>4</v>
      </c>
      <c r="C91">
        <v>287.7</v>
      </c>
    </row>
    <row r="92" spans="1:3" x14ac:dyDescent="0.3">
      <c r="A92" s="1">
        <v>43544</v>
      </c>
      <c r="B92" s="4" t="s">
        <v>0</v>
      </c>
      <c r="C92">
        <v>109</v>
      </c>
    </row>
    <row r="93" spans="1:3" x14ac:dyDescent="0.3">
      <c r="A93" s="1">
        <v>43544</v>
      </c>
      <c r="B93" s="4" t="s">
        <v>1</v>
      </c>
      <c r="C93">
        <v>114.4</v>
      </c>
    </row>
    <row r="94" spans="1:3" x14ac:dyDescent="0.3">
      <c r="A94" s="1">
        <v>43544</v>
      </c>
      <c r="B94" s="4" t="s">
        <v>2</v>
      </c>
      <c r="C94">
        <v>198.4</v>
      </c>
    </row>
    <row r="95" spans="1:3" x14ac:dyDescent="0.3">
      <c r="A95" s="1">
        <v>43544</v>
      </c>
      <c r="B95" s="4" t="s">
        <v>3</v>
      </c>
      <c r="C95">
        <v>69.599999999999994</v>
      </c>
    </row>
    <row r="96" spans="1:3" x14ac:dyDescent="0.3">
      <c r="A96" s="1">
        <v>43544</v>
      </c>
      <c r="B96" s="4" t="s">
        <v>4</v>
      </c>
      <c r="C96">
        <v>268.60000000000002</v>
      </c>
    </row>
    <row r="97" spans="1:3" x14ac:dyDescent="0.3">
      <c r="A97" s="1">
        <v>43545</v>
      </c>
      <c r="B97" s="4" t="s">
        <v>0</v>
      </c>
      <c r="C97">
        <v>109</v>
      </c>
    </row>
    <row r="98" spans="1:3" x14ac:dyDescent="0.3">
      <c r="A98" s="1">
        <v>43545</v>
      </c>
      <c r="B98" s="4" t="s">
        <v>1</v>
      </c>
      <c r="C98">
        <v>112.5</v>
      </c>
    </row>
    <row r="99" spans="1:3" x14ac:dyDescent="0.3">
      <c r="A99" s="1">
        <v>43545</v>
      </c>
      <c r="B99" s="4" t="s">
        <v>2</v>
      </c>
      <c r="C99">
        <v>206.6</v>
      </c>
    </row>
    <row r="100" spans="1:3" x14ac:dyDescent="0.3">
      <c r="A100" s="1">
        <v>43545</v>
      </c>
      <c r="B100" s="4" t="s">
        <v>3</v>
      </c>
      <c r="C100">
        <v>68.3</v>
      </c>
    </row>
    <row r="101" spans="1:3" x14ac:dyDescent="0.3">
      <c r="A101" s="1">
        <v>43545</v>
      </c>
      <c r="B101" s="4" t="s">
        <v>4</v>
      </c>
      <c r="C101">
        <v>287.10000000000002</v>
      </c>
    </row>
    <row r="102" spans="1:3" x14ac:dyDescent="0.3">
      <c r="A102" s="1">
        <v>43546</v>
      </c>
      <c r="B102" s="4" t="s">
        <v>0</v>
      </c>
      <c r="C102">
        <v>101.7</v>
      </c>
    </row>
    <row r="103" spans="1:3" x14ac:dyDescent="0.3">
      <c r="A103" s="1">
        <v>43546</v>
      </c>
      <c r="B103" s="4" t="s">
        <v>1</v>
      </c>
      <c r="C103">
        <v>114.5</v>
      </c>
    </row>
    <row r="104" spans="1:3" x14ac:dyDescent="0.3">
      <c r="A104" s="1">
        <v>43546</v>
      </c>
      <c r="B104" s="4" t="s">
        <v>2</v>
      </c>
      <c r="C104">
        <v>216.7</v>
      </c>
    </row>
    <row r="105" spans="1:3" x14ac:dyDescent="0.3">
      <c r="A105" s="1">
        <v>43546</v>
      </c>
      <c r="B105" s="4" t="s">
        <v>3</v>
      </c>
      <c r="C105">
        <v>62.5</v>
      </c>
    </row>
    <row r="106" spans="1:3" x14ac:dyDescent="0.3">
      <c r="A106" s="1">
        <v>43546</v>
      </c>
      <c r="B106" s="4" t="s">
        <v>4</v>
      </c>
      <c r="C106">
        <v>260.8</v>
      </c>
    </row>
    <row r="107" spans="1:3" x14ac:dyDescent="0.3">
      <c r="A107" s="1">
        <v>43547</v>
      </c>
      <c r="B107" s="4" t="s">
        <v>0</v>
      </c>
      <c r="C107">
        <v>100.3</v>
      </c>
    </row>
    <row r="108" spans="1:3" x14ac:dyDescent="0.3">
      <c r="A108" s="1">
        <v>43547</v>
      </c>
      <c r="B108" s="4" t="s">
        <v>1</v>
      </c>
      <c r="C108">
        <v>114.2</v>
      </c>
    </row>
    <row r="109" spans="1:3" x14ac:dyDescent="0.3">
      <c r="A109" s="1">
        <v>43547</v>
      </c>
      <c r="B109" s="4" t="s">
        <v>2</v>
      </c>
      <c r="C109">
        <v>214.5</v>
      </c>
    </row>
    <row r="110" spans="1:3" x14ac:dyDescent="0.3">
      <c r="A110" s="1">
        <v>43547</v>
      </c>
      <c r="B110" s="4" t="s">
        <v>3</v>
      </c>
      <c r="C110">
        <v>63.5</v>
      </c>
    </row>
    <row r="111" spans="1:3" x14ac:dyDescent="0.3">
      <c r="A111" s="1">
        <v>43547</v>
      </c>
      <c r="B111" s="4" t="s">
        <v>4</v>
      </c>
      <c r="C111">
        <v>258.2</v>
      </c>
    </row>
    <row r="112" spans="1:3" x14ac:dyDescent="0.3">
      <c r="A112" s="1">
        <v>43548</v>
      </c>
      <c r="B112" s="4" t="s">
        <v>0</v>
      </c>
      <c r="C112">
        <v>98</v>
      </c>
    </row>
    <row r="113" spans="1:3" x14ac:dyDescent="0.3">
      <c r="A113" s="1">
        <v>43548</v>
      </c>
      <c r="B113" s="4" t="s">
        <v>1</v>
      </c>
      <c r="C113">
        <v>108.2</v>
      </c>
    </row>
    <row r="114" spans="1:3" x14ac:dyDescent="0.3">
      <c r="A114" s="1">
        <v>43548</v>
      </c>
      <c r="B114" s="4" t="s">
        <v>2</v>
      </c>
      <c r="C114">
        <v>218.6</v>
      </c>
    </row>
    <row r="115" spans="1:3" x14ac:dyDescent="0.3">
      <c r="A115" s="1">
        <v>43548</v>
      </c>
      <c r="B115" s="4" t="s">
        <v>3</v>
      </c>
      <c r="C115">
        <v>62.6</v>
      </c>
    </row>
    <row r="116" spans="1:3" x14ac:dyDescent="0.3">
      <c r="A116" s="1">
        <v>43548</v>
      </c>
      <c r="B116" s="4" t="s">
        <v>4</v>
      </c>
      <c r="C116">
        <v>258.39999999999998</v>
      </c>
    </row>
    <row r="117" spans="1:3" x14ac:dyDescent="0.3">
      <c r="A117" s="1">
        <v>43549</v>
      </c>
      <c r="B117" s="4" t="s">
        <v>0</v>
      </c>
      <c r="C117">
        <v>99.4</v>
      </c>
    </row>
    <row r="118" spans="1:3" x14ac:dyDescent="0.3">
      <c r="A118" s="1">
        <v>43549</v>
      </c>
      <c r="B118" s="4" t="s">
        <v>1</v>
      </c>
      <c r="C118">
        <v>100.3</v>
      </c>
    </row>
    <row r="119" spans="1:3" x14ac:dyDescent="0.3">
      <c r="A119" s="1">
        <v>43549</v>
      </c>
      <c r="B119" s="4" t="s">
        <v>2</v>
      </c>
      <c r="C119">
        <v>213</v>
      </c>
    </row>
    <row r="120" spans="1:3" x14ac:dyDescent="0.3">
      <c r="A120" s="1">
        <v>43549</v>
      </c>
      <c r="B120" s="4" t="s">
        <v>3</v>
      </c>
      <c r="C120">
        <v>62.4</v>
      </c>
    </row>
    <row r="121" spans="1:3" x14ac:dyDescent="0.3">
      <c r="A121" s="1">
        <v>43549</v>
      </c>
      <c r="B121" s="4" t="s">
        <v>4</v>
      </c>
      <c r="C121">
        <v>238.2</v>
      </c>
    </row>
    <row r="122" spans="1:3" x14ac:dyDescent="0.3">
      <c r="A122" s="1">
        <v>43550</v>
      </c>
      <c r="B122" s="4" t="s">
        <v>0</v>
      </c>
      <c r="C122">
        <v>102.8</v>
      </c>
    </row>
    <row r="123" spans="1:3" x14ac:dyDescent="0.3">
      <c r="A123" s="1">
        <v>43550</v>
      </c>
      <c r="B123" s="4" t="s">
        <v>1</v>
      </c>
      <c r="C123">
        <v>109.9</v>
      </c>
    </row>
    <row r="124" spans="1:3" x14ac:dyDescent="0.3">
      <c r="A124" s="1">
        <v>43550</v>
      </c>
      <c r="B124" s="4" t="s">
        <v>2</v>
      </c>
      <c r="C124">
        <v>212.3</v>
      </c>
    </row>
    <row r="125" spans="1:3" x14ac:dyDescent="0.3">
      <c r="A125" s="1">
        <v>43550</v>
      </c>
      <c r="B125" s="4" t="s">
        <v>3</v>
      </c>
      <c r="C125">
        <v>63.5</v>
      </c>
    </row>
    <row r="126" spans="1:3" x14ac:dyDescent="0.3">
      <c r="A126" s="1">
        <v>43550</v>
      </c>
      <c r="B126" s="4" t="s">
        <v>4</v>
      </c>
      <c r="C126">
        <v>236.2</v>
      </c>
    </row>
    <row r="127" spans="1:3" x14ac:dyDescent="0.3">
      <c r="A127" s="1">
        <v>43551</v>
      </c>
      <c r="B127" s="4" t="s">
        <v>0</v>
      </c>
      <c r="C127">
        <v>101.4</v>
      </c>
    </row>
    <row r="128" spans="1:3" x14ac:dyDescent="0.3">
      <c r="A128" s="1">
        <v>43551</v>
      </c>
      <c r="B128" s="4" t="s">
        <v>1</v>
      </c>
      <c r="C128">
        <v>108.5</v>
      </c>
    </row>
    <row r="129" spans="1:3" x14ac:dyDescent="0.3">
      <c r="A129" s="1">
        <v>43551</v>
      </c>
      <c r="B129" s="4" t="s">
        <v>2</v>
      </c>
      <c r="C129">
        <v>213.3</v>
      </c>
    </row>
    <row r="130" spans="1:3" x14ac:dyDescent="0.3">
      <c r="A130" s="1">
        <v>43551</v>
      </c>
      <c r="B130" s="4" t="s">
        <v>3</v>
      </c>
      <c r="C130">
        <v>60.4</v>
      </c>
    </row>
    <row r="131" spans="1:3" x14ac:dyDescent="0.3">
      <c r="A131" s="1">
        <v>43551</v>
      </c>
      <c r="B131" s="4" t="s">
        <v>4</v>
      </c>
      <c r="C131">
        <v>240.5</v>
      </c>
    </row>
    <row r="132" spans="1:3" x14ac:dyDescent="0.3">
      <c r="A132" s="1">
        <v>43552</v>
      </c>
      <c r="B132" s="4" t="s">
        <v>0</v>
      </c>
      <c r="C132">
        <v>92.9</v>
      </c>
    </row>
    <row r="133" spans="1:3" x14ac:dyDescent="0.3">
      <c r="A133" s="1">
        <v>43552</v>
      </c>
      <c r="B133" s="4" t="s">
        <v>1</v>
      </c>
      <c r="C133">
        <v>97.7</v>
      </c>
    </row>
    <row r="134" spans="1:3" x14ac:dyDescent="0.3">
      <c r="A134" s="1">
        <v>43552</v>
      </c>
      <c r="B134" s="4" t="s">
        <v>2</v>
      </c>
      <c r="C134">
        <v>210.3</v>
      </c>
    </row>
    <row r="135" spans="1:3" x14ac:dyDescent="0.3">
      <c r="A135" s="1">
        <v>43552</v>
      </c>
      <c r="B135" s="4" t="s">
        <v>3</v>
      </c>
      <c r="C135">
        <v>57.2</v>
      </c>
    </row>
    <row r="136" spans="1:3" x14ac:dyDescent="0.3">
      <c r="A136" s="1">
        <v>43552</v>
      </c>
      <c r="B136" s="4" t="s">
        <v>4</v>
      </c>
      <c r="C136">
        <v>232.6</v>
      </c>
    </row>
    <row r="137" spans="1:3" x14ac:dyDescent="0.3">
      <c r="A137" s="1">
        <v>43553</v>
      </c>
      <c r="B137" s="4" t="s">
        <v>0</v>
      </c>
      <c r="C137">
        <v>118.3</v>
      </c>
    </row>
    <row r="138" spans="1:3" x14ac:dyDescent="0.3">
      <c r="A138" s="1">
        <v>43553</v>
      </c>
      <c r="B138" s="4" t="s">
        <v>1</v>
      </c>
      <c r="C138">
        <v>117.7</v>
      </c>
    </row>
    <row r="139" spans="1:3" x14ac:dyDescent="0.3">
      <c r="A139" s="1">
        <v>43553</v>
      </c>
      <c r="B139" s="4" t="s">
        <v>2</v>
      </c>
      <c r="C139">
        <v>209.5</v>
      </c>
    </row>
    <row r="140" spans="1:3" x14ac:dyDescent="0.3">
      <c r="A140" s="1">
        <v>43553</v>
      </c>
      <c r="B140" s="4" t="s">
        <v>3</v>
      </c>
      <c r="C140">
        <v>61.7</v>
      </c>
    </row>
    <row r="141" spans="1:3" x14ac:dyDescent="0.3">
      <c r="A141" s="1">
        <v>43553</v>
      </c>
      <c r="B141" s="4" t="s">
        <v>4</v>
      </c>
      <c r="C141">
        <v>291.7</v>
      </c>
    </row>
    <row r="142" spans="1:3" x14ac:dyDescent="0.3">
      <c r="A142" s="1">
        <v>43554</v>
      </c>
      <c r="B142" s="4" t="s">
        <v>0</v>
      </c>
      <c r="C142">
        <v>123.5</v>
      </c>
    </row>
    <row r="143" spans="1:3" x14ac:dyDescent="0.3">
      <c r="A143" s="1">
        <v>43554</v>
      </c>
      <c r="B143" s="4" t="s">
        <v>1</v>
      </c>
      <c r="C143">
        <v>123.4</v>
      </c>
    </row>
    <row r="144" spans="1:3" x14ac:dyDescent="0.3">
      <c r="A144" s="1">
        <v>43554</v>
      </c>
      <c r="B144" s="4" t="s">
        <v>2</v>
      </c>
      <c r="C144">
        <v>216.3</v>
      </c>
    </row>
    <row r="145" spans="1:3" x14ac:dyDescent="0.3">
      <c r="A145" s="1">
        <v>43554</v>
      </c>
      <c r="B145" s="4" t="s">
        <v>3</v>
      </c>
      <c r="C145">
        <v>64.3</v>
      </c>
    </row>
    <row r="146" spans="1:3" x14ac:dyDescent="0.3">
      <c r="A146" s="1">
        <v>43554</v>
      </c>
      <c r="B146" s="4" t="s">
        <v>4</v>
      </c>
      <c r="C146">
        <v>279.39999999999998</v>
      </c>
    </row>
    <row r="147" spans="1:3" x14ac:dyDescent="0.3">
      <c r="A147" s="1">
        <v>43555</v>
      </c>
      <c r="B147" s="4" t="s">
        <v>0</v>
      </c>
      <c r="C147">
        <v>126.9</v>
      </c>
    </row>
    <row r="148" spans="1:3" x14ac:dyDescent="0.3">
      <c r="A148" s="1">
        <v>43555</v>
      </c>
      <c r="B148" s="4" t="s">
        <v>1</v>
      </c>
      <c r="C148">
        <v>124.6</v>
      </c>
    </row>
    <row r="149" spans="1:3" x14ac:dyDescent="0.3">
      <c r="A149" s="1">
        <v>43555</v>
      </c>
      <c r="B149" s="4" t="s">
        <v>2</v>
      </c>
      <c r="C149">
        <v>215.4</v>
      </c>
    </row>
    <row r="150" spans="1:3" x14ac:dyDescent="0.3">
      <c r="A150" s="1">
        <v>43555</v>
      </c>
      <c r="B150" s="4" t="s">
        <v>3</v>
      </c>
      <c r="C150">
        <v>65.900000000000006</v>
      </c>
    </row>
    <row r="151" spans="1:3" x14ac:dyDescent="0.3">
      <c r="A151" s="1">
        <v>43555</v>
      </c>
      <c r="B151" s="4" t="s">
        <v>4</v>
      </c>
      <c r="C151">
        <v>297.60000000000002</v>
      </c>
    </row>
    <row r="152" spans="1:3" x14ac:dyDescent="0.3">
      <c r="A152" s="1">
        <v>43557</v>
      </c>
      <c r="B152" s="4" t="s">
        <v>0</v>
      </c>
      <c r="C152">
        <v>129.80000000000001</v>
      </c>
    </row>
    <row r="153" spans="1:3" x14ac:dyDescent="0.3">
      <c r="A153" s="1">
        <v>43557</v>
      </c>
      <c r="B153" s="4" t="s">
        <v>1</v>
      </c>
      <c r="C153">
        <v>126.3</v>
      </c>
    </row>
    <row r="154" spans="1:3" x14ac:dyDescent="0.3">
      <c r="A154" s="1">
        <v>43557</v>
      </c>
      <c r="B154" s="4" t="s">
        <v>2</v>
      </c>
      <c r="C154">
        <v>214.8</v>
      </c>
    </row>
    <row r="155" spans="1:3" x14ac:dyDescent="0.3">
      <c r="A155" s="1">
        <v>43557</v>
      </c>
      <c r="B155" s="4" t="s">
        <v>3</v>
      </c>
      <c r="C155">
        <v>67.400000000000006</v>
      </c>
    </row>
    <row r="156" spans="1:3" x14ac:dyDescent="0.3">
      <c r="A156" s="1">
        <v>43557</v>
      </c>
      <c r="B156" s="4" t="s">
        <v>4</v>
      </c>
      <c r="C156">
        <v>308.60000000000002</v>
      </c>
    </row>
    <row r="157" spans="1:3" x14ac:dyDescent="0.3">
      <c r="A157" s="1">
        <v>43558</v>
      </c>
      <c r="B157" s="4" t="s">
        <v>0</v>
      </c>
      <c r="C157">
        <v>131.5</v>
      </c>
    </row>
    <row r="158" spans="1:3" x14ac:dyDescent="0.3">
      <c r="A158" s="1">
        <v>43558</v>
      </c>
      <c r="B158" s="4" t="s">
        <v>1</v>
      </c>
      <c r="C158">
        <v>129.4</v>
      </c>
    </row>
    <row r="159" spans="1:3" x14ac:dyDescent="0.3">
      <c r="A159" s="1">
        <v>43558</v>
      </c>
      <c r="B159" s="4" t="s">
        <v>2</v>
      </c>
      <c r="C159">
        <v>222.9</v>
      </c>
    </row>
    <row r="160" spans="1:3" x14ac:dyDescent="0.3">
      <c r="A160" s="1">
        <v>43558</v>
      </c>
      <c r="B160" s="4" t="s">
        <v>3</v>
      </c>
      <c r="C160">
        <v>71.8</v>
      </c>
    </row>
    <row r="161" spans="1:3" x14ac:dyDescent="0.3">
      <c r="A161" s="1">
        <v>43558</v>
      </c>
      <c r="B161" s="4" t="s">
        <v>4</v>
      </c>
      <c r="C161">
        <v>317.89999999999998</v>
      </c>
    </row>
    <row r="162" spans="1:3" x14ac:dyDescent="0.3">
      <c r="A162" s="1">
        <v>43559</v>
      </c>
      <c r="B162" s="4" t="s">
        <v>0</v>
      </c>
      <c r="C162">
        <v>130.80000000000001</v>
      </c>
    </row>
    <row r="163" spans="1:3" x14ac:dyDescent="0.3">
      <c r="A163" s="1">
        <v>43559</v>
      </c>
      <c r="B163" s="4" t="s">
        <v>1</v>
      </c>
      <c r="C163">
        <v>127.6</v>
      </c>
    </row>
    <row r="164" spans="1:3" x14ac:dyDescent="0.3">
      <c r="A164" s="1">
        <v>43559</v>
      </c>
      <c r="B164" s="4" t="s">
        <v>2</v>
      </c>
      <c r="C164">
        <v>220.4</v>
      </c>
    </row>
    <row r="165" spans="1:3" x14ac:dyDescent="0.3">
      <c r="A165" s="1">
        <v>43559</v>
      </c>
      <c r="B165" s="4" t="s">
        <v>3</v>
      </c>
      <c r="C165">
        <v>73.900000000000006</v>
      </c>
    </row>
    <row r="166" spans="1:3" x14ac:dyDescent="0.3">
      <c r="A166" s="1">
        <v>43559</v>
      </c>
      <c r="B166" s="4" t="s">
        <v>4</v>
      </c>
      <c r="C166">
        <v>320</v>
      </c>
    </row>
    <row r="167" spans="1:3" x14ac:dyDescent="0.3">
      <c r="A167" s="1">
        <v>43560</v>
      </c>
      <c r="B167" s="4" t="s">
        <v>0</v>
      </c>
      <c r="C167">
        <v>121.4</v>
      </c>
    </row>
    <row r="168" spans="1:3" x14ac:dyDescent="0.3">
      <c r="A168" s="1">
        <v>43560</v>
      </c>
      <c r="B168" s="4" t="s">
        <v>1</v>
      </c>
      <c r="C168">
        <v>113.9</v>
      </c>
    </row>
    <row r="169" spans="1:3" x14ac:dyDescent="0.3">
      <c r="A169" s="1">
        <v>43560</v>
      </c>
      <c r="B169" s="4" t="s">
        <v>2</v>
      </c>
      <c r="C169">
        <v>217.5</v>
      </c>
    </row>
    <row r="170" spans="1:3" x14ac:dyDescent="0.3">
      <c r="A170" s="1">
        <v>43560</v>
      </c>
      <c r="B170" s="4" t="s">
        <v>3</v>
      </c>
      <c r="C170">
        <v>69.099999999999994</v>
      </c>
    </row>
    <row r="171" spans="1:3" x14ac:dyDescent="0.3">
      <c r="A171" s="1">
        <v>43560</v>
      </c>
      <c r="B171" s="4" t="s">
        <v>4</v>
      </c>
      <c r="C171">
        <v>292.2</v>
      </c>
    </row>
    <row r="172" spans="1:3" x14ac:dyDescent="0.3">
      <c r="A172" s="1">
        <v>43561</v>
      </c>
      <c r="B172" s="4" t="s">
        <v>0</v>
      </c>
      <c r="C172">
        <v>101.8</v>
      </c>
    </row>
    <row r="173" spans="1:3" x14ac:dyDescent="0.3">
      <c r="A173" s="1">
        <v>43561</v>
      </c>
      <c r="B173" s="4" t="s">
        <v>1</v>
      </c>
      <c r="C173">
        <v>117.4</v>
      </c>
    </row>
    <row r="174" spans="1:3" x14ac:dyDescent="0.3">
      <c r="A174" s="1">
        <v>43561</v>
      </c>
      <c r="B174" s="4" t="s">
        <v>2</v>
      </c>
      <c r="C174">
        <v>232.4</v>
      </c>
    </row>
    <row r="175" spans="1:3" x14ac:dyDescent="0.3">
      <c r="A175" s="1">
        <v>43561</v>
      </c>
      <c r="B175" s="4" t="s">
        <v>3</v>
      </c>
      <c r="C175">
        <v>61.4</v>
      </c>
    </row>
    <row r="176" spans="1:3" x14ac:dyDescent="0.3">
      <c r="A176" s="1">
        <v>43561</v>
      </c>
      <c r="B176" s="4" t="s">
        <v>4</v>
      </c>
      <c r="C176">
        <v>261.39999999999998</v>
      </c>
    </row>
    <row r="177" spans="1:3" x14ac:dyDescent="0.3">
      <c r="A177" s="1">
        <v>43562</v>
      </c>
      <c r="B177" s="4" t="s">
        <v>0</v>
      </c>
      <c r="C177">
        <v>100.3</v>
      </c>
    </row>
    <row r="178" spans="1:3" x14ac:dyDescent="0.3">
      <c r="A178" s="1">
        <v>43562</v>
      </c>
      <c r="B178" s="4" t="s">
        <v>1</v>
      </c>
      <c r="C178">
        <v>117.4</v>
      </c>
    </row>
    <row r="179" spans="1:3" x14ac:dyDescent="0.3">
      <c r="A179" s="1">
        <v>43562</v>
      </c>
      <c r="B179" s="4" t="s">
        <v>2</v>
      </c>
      <c r="C179">
        <v>228.8</v>
      </c>
    </row>
    <row r="180" spans="1:3" x14ac:dyDescent="0.3">
      <c r="A180" s="1">
        <v>43562</v>
      </c>
      <c r="B180" s="4" t="s">
        <v>3</v>
      </c>
      <c r="C180">
        <v>64.099999999999994</v>
      </c>
    </row>
    <row r="181" spans="1:3" x14ac:dyDescent="0.3">
      <c r="A181" s="1">
        <v>43562</v>
      </c>
      <c r="B181" s="4" t="s">
        <v>4</v>
      </c>
      <c r="C181">
        <v>259.60000000000002</v>
      </c>
    </row>
    <row r="182" spans="1:3" x14ac:dyDescent="0.3">
      <c r="A182" s="1">
        <v>43563</v>
      </c>
      <c r="B182" s="4" t="s">
        <v>0</v>
      </c>
      <c r="C182">
        <v>101.6</v>
      </c>
    </row>
    <row r="183" spans="1:3" x14ac:dyDescent="0.3">
      <c r="A183" s="1">
        <v>43563</v>
      </c>
      <c r="B183" s="4" t="s">
        <v>1</v>
      </c>
      <c r="C183">
        <v>117.2</v>
      </c>
    </row>
    <row r="184" spans="1:3" x14ac:dyDescent="0.3">
      <c r="A184" s="1">
        <v>43563</v>
      </c>
      <c r="B184" s="4" t="s">
        <v>2</v>
      </c>
      <c r="C184">
        <v>222.5</v>
      </c>
    </row>
    <row r="185" spans="1:3" x14ac:dyDescent="0.3">
      <c r="A185" s="1">
        <v>43563</v>
      </c>
      <c r="B185" s="4" t="s">
        <v>3</v>
      </c>
      <c r="C185">
        <v>66.099999999999994</v>
      </c>
    </row>
    <row r="186" spans="1:3" x14ac:dyDescent="0.3">
      <c r="A186" s="1">
        <v>43563</v>
      </c>
      <c r="B186" s="4" t="s">
        <v>4</v>
      </c>
      <c r="C186">
        <v>241.9</v>
      </c>
    </row>
    <row r="187" spans="1:3" x14ac:dyDescent="0.3">
      <c r="A187" s="1">
        <v>43564</v>
      </c>
      <c r="B187" s="4" t="s">
        <v>0</v>
      </c>
      <c r="C187">
        <v>101.6</v>
      </c>
    </row>
    <row r="188" spans="1:3" x14ac:dyDescent="0.3">
      <c r="A188" s="1">
        <v>43564</v>
      </c>
      <c r="B188" s="4" t="s">
        <v>1</v>
      </c>
      <c r="C188">
        <v>117.2</v>
      </c>
    </row>
    <row r="189" spans="1:3" x14ac:dyDescent="0.3">
      <c r="A189" s="1">
        <v>43564</v>
      </c>
      <c r="B189" s="4" t="s">
        <v>2</v>
      </c>
      <c r="C189">
        <v>222.5</v>
      </c>
    </row>
    <row r="190" spans="1:3" x14ac:dyDescent="0.3">
      <c r="A190" s="1">
        <v>43564</v>
      </c>
      <c r="B190" s="4" t="s">
        <v>3</v>
      </c>
      <c r="C190">
        <v>66.099999999999994</v>
      </c>
    </row>
    <row r="191" spans="1:3" x14ac:dyDescent="0.3">
      <c r="A191" s="1">
        <v>43564</v>
      </c>
      <c r="B191" s="4" t="s">
        <v>4</v>
      </c>
      <c r="C191">
        <v>241.9</v>
      </c>
    </row>
    <row r="192" spans="1:3" x14ac:dyDescent="0.3">
      <c r="A192" s="1">
        <v>43565</v>
      </c>
      <c r="B192" s="4" t="s">
        <v>0</v>
      </c>
      <c r="C192">
        <v>106.8</v>
      </c>
    </row>
    <row r="193" spans="1:3" x14ac:dyDescent="0.3">
      <c r="A193" s="1">
        <v>43565</v>
      </c>
      <c r="B193" s="4" t="s">
        <v>1</v>
      </c>
      <c r="C193">
        <v>123.7</v>
      </c>
    </row>
    <row r="194" spans="1:3" x14ac:dyDescent="0.3">
      <c r="A194" s="1">
        <v>43565</v>
      </c>
      <c r="B194" s="4" t="s">
        <v>2</v>
      </c>
      <c r="C194">
        <v>231.3</v>
      </c>
    </row>
    <row r="195" spans="1:3" x14ac:dyDescent="0.3">
      <c r="A195" s="1">
        <v>43565</v>
      </c>
      <c r="B195" s="4" t="s">
        <v>3</v>
      </c>
      <c r="C195">
        <v>65.400000000000006</v>
      </c>
    </row>
    <row r="196" spans="1:3" x14ac:dyDescent="0.3">
      <c r="A196" s="1">
        <v>43565</v>
      </c>
      <c r="B196" s="4" t="s">
        <v>4</v>
      </c>
      <c r="C196">
        <v>268</v>
      </c>
    </row>
    <row r="197" spans="1:3" x14ac:dyDescent="0.3">
      <c r="A197" s="1">
        <v>43566</v>
      </c>
      <c r="B197" s="4" t="s">
        <v>0</v>
      </c>
      <c r="C197">
        <v>105.9</v>
      </c>
    </row>
    <row r="198" spans="1:3" x14ac:dyDescent="0.3">
      <c r="A198" s="1">
        <v>43566</v>
      </c>
      <c r="B198" s="4" t="s">
        <v>1</v>
      </c>
      <c r="C198">
        <v>111.9</v>
      </c>
    </row>
    <row r="199" spans="1:3" x14ac:dyDescent="0.3">
      <c r="A199" s="1">
        <v>43566</v>
      </c>
      <c r="B199" s="4" t="s">
        <v>2</v>
      </c>
      <c r="C199">
        <v>223.6</v>
      </c>
    </row>
    <row r="200" spans="1:3" x14ac:dyDescent="0.3">
      <c r="A200" s="1">
        <v>43566</v>
      </c>
      <c r="B200" s="4" t="s">
        <v>3</v>
      </c>
      <c r="C200">
        <v>63</v>
      </c>
    </row>
    <row r="201" spans="1:3" x14ac:dyDescent="0.3">
      <c r="A201" s="1">
        <v>43566</v>
      </c>
      <c r="B201" s="4" t="s">
        <v>4</v>
      </c>
      <c r="C201">
        <v>258</v>
      </c>
    </row>
    <row r="202" spans="1:3" x14ac:dyDescent="0.3">
      <c r="A202" s="1">
        <v>43567</v>
      </c>
      <c r="B202" s="4" t="s">
        <v>0</v>
      </c>
      <c r="C202">
        <v>93.1</v>
      </c>
    </row>
    <row r="203" spans="1:3" x14ac:dyDescent="0.3">
      <c r="A203" s="1">
        <v>43567</v>
      </c>
      <c r="B203" s="4" t="s">
        <v>1</v>
      </c>
      <c r="C203">
        <v>95</v>
      </c>
    </row>
    <row r="204" spans="1:3" x14ac:dyDescent="0.3">
      <c r="A204" s="1">
        <v>43567</v>
      </c>
      <c r="B204" s="4" t="s">
        <v>2</v>
      </c>
      <c r="C204">
        <v>212</v>
      </c>
    </row>
    <row r="205" spans="1:3" x14ac:dyDescent="0.3">
      <c r="A205" s="1">
        <v>43567</v>
      </c>
      <c r="B205" s="4" t="s">
        <v>3</v>
      </c>
      <c r="C205">
        <v>60.2</v>
      </c>
    </row>
    <row r="206" spans="1:3" x14ac:dyDescent="0.3">
      <c r="A206" s="1">
        <v>43567</v>
      </c>
      <c r="B206" s="4" t="s">
        <v>4</v>
      </c>
      <c r="C206">
        <v>230</v>
      </c>
    </row>
    <row r="207" spans="1:3" x14ac:dyDescent="0.3">
      <c r="A207" s="1">
        <v>43568</v>
      </c>
      <c r="B207" s="4" t="s">
        <v>0</v>
      </c>
      <c r="C207">
        <v>249.8</v>
      </c>
    </row>
    <row r="208" spans="1:3" x14ac:dyDescent="0.3">
      <c r="A208" s="1">
        <v>43568</v>
      </c>
      <c r="B208" s="4" t="s">
        <v>1</v>
      </c>
      <c r="C208">
        <v>197.7</v>
      </c>
    </row>
    <row r="209" spans="1:3" x14ac:dyDescent="0.3">
      <c r="A209" s="1">
        <v>43568</v>
      </c>
      <c r="B209" s="4" t="s">
        <v>2</v>
      </c>
      <c r="C209">
        <v>240.6</v>
      </c>
    </row>
    <row r="210" spans="1:3" x14ac:dyDescent="0.3">
      <c r="A210" s="1">
        <v>43568</v>
      </c>
      <c r="B210" s="4" t="s">
        <v>3</v>
      </c>
      <c r="C210">
        <v>123.2</v>
      </c>
    </row>
    <row r="211" spans="1:3" x14ac:dyDescent="0.3">
      <c r="A211" s="1">
        <v>43568</v>
      </c>
      <c r="B211" s="4" t="s">
        <v>4</v>
      </c>
      <c r="C211">
        <v>383</v>
      </c>
    </row>
    <row r="212" spans="1:3" x14ac:dyDescent="0.3">
      <c r="A212" s="1">
        <v>43569</v>
      </c>
      <c r="B212" s="4" t="s">
        <v>0</v>
      </c>
      <c r="C212">
        <v>250.6</v>
      </c>
    </row>
    <row r="213" spans="1:3" x14ac:dyDescent="0.3">
      <c r="A213" s="1">
        <v>43569</v>
      </c>
      <c r="B213" s="4" t="s">
        <v>1</v>
      </c>
      <c r="C213">
        <v>209.8</v>
      </c>
    </row>
    <row r="214" spans="1:3" x14ac:dyDescent="0.3">
      <c r="A214" s="1">
        <v>43569</v>
      </c>
      <c r="B214" s="4" t="s">
        <v>2</v>
      </c>
      <c r="C214">
        <v>242.9</v>
      </c>
    </row>
    <row r="215" spans="1:3" x14ac:dyDescent="0.3">
      <c r="A215" s="1">
        <v>43569</v>
      </c>
      <c r="B215" s="4" t="s">
        <v>3</v>
      </c>
      <c r="C215">
        <v>126.1</v>
      </c>
    </row>
    <row r="216" spans="1:3" x14ac:dyDescent="0.3">
      <c r="A216" s="1">
        <v>43569</v>
      </c>
      <c r="B216" s="4" t="s">
        <v>4</v>
      </c>
      <c r="C216">
        <v>407.9</v>
      </c>
    </row>
    <row r="217" spans="1:3" x14ac:dyDescent="0.3">
      <c r="A217" s="1">
        <v>43570</v>
      </c>
      <c r="B217" s="4" t="s">
        <v>0</v>
      </c>
      <c r="C217">
        <v>274.10000000000002</v>
      </c>
    </row>
    <row r="218" spans="1:3" x14ac:dyDescent="0.3">
      <c r="A218" s="1">
        <v>43570</v>
      </c>
      <c r="B218" s="4" t="s">
        <v>1</v>
      </c>
      <c r="C218">
        <v>219.4</v>
      </c>
    </row>
    <row r="219" spans="1:3" x14ac:dyDescent="0.3">
      <c r="A219" s="1">
        <v>43570</v>
      </c>
      <c r="B219" s="4" t="s">
        <v>2</v>
      </c>
      <c r="C219">
        <v>248.5</v>
      </c>
    </row>
    <row r="220" spans="1:3" x14ac:dyDescent="0.3">
      <c r="A220" s="1">
        <v>43570</v>
      </c>
      <c r="B220" s="4" t="s">
        <v>3</v>
      </c>
      <c r="C220">
        <v>135.1</v>
      </c>
    </row>
    <row r="221" spans="1:3" x14ac:dyDescent="0.3">
      <c r="A221" s="1">
        <v>43570</v>
      </c>
      <c r="B221" s="4" t="s">
        <v>4</v>
      </c>
      <c r="C221">
        <v>416.9</v>
      </c>
    </row>
    <row r="222" spans="1:3" x14ac:dyDescent="0.3">
      <c r="A222" s="1">
        <v>43571</v>
      </c>
      <c r="B222" s="4" t="s">
        <v>0</v>
      </c>
      <c r="C222">
        <v>269.39999999999998</v>
      </c>
    </row>
    <row r="223" spans="1:3" x14ac:dyDescent="0.3">
      <c r="A223" s="1">
        <v>43571</v>
      </c>
      <c r="B223" s="4" t="s">
        <v>1</v>
      </c>
      <c r="C223">
        <v>219.1</v>
      </c>
    </row>
    <row r="224" spans="1:3" x14ac:dyDescent="0.3">
      <c r="A224" s="1">
        <v>43571</v>
      </c>
      <c r="B224" s="4" t="s">
        <v>2</v>
      </c>
      <c r="C224">
        <v>249.5</v>
      </c>
    </row>
    <row r="225" spans="1:3" x14ac:dyDescent="0.3">
      <c r="A225" s="1">
        <v>43571</v>
      </c>
      <c r="B225" s="4" t="s">
        <v>3</v>
      </c>
      <c r="C225">
        <v>135.19999999999999</v>
      </c>
    </row>
    <row r="226" spans="1:3" x14ac:dyDescent="0.3">
      <c r="A226" s="1">
        <v>43571</v>
      </c>
      <c r="B226" s="4" t="s">
        <v>4</v>
      </c>
      <c r="C226">
        <v>435.1</v>
      </c>
    </row>
    <row r="227" spans="1:3" x14ac:dyDescent="0.3">
      <c r="A227" s="1">
        <v>43572</v>
      </c>
      <c r="B227" s="4" t="s">
        <v>0</v>
      </c>
      <c r="C227">
        <v>282.7</v>
      </c>
    </row>
    <row r="228" spans="1:3" x14ac:dyDescent="0.3">
      <c r="A228" s="1">
        <v>43572</v>
      </c>
      <c r="B228" s="4" t="s">
        <v>1</v>
      </c>
      <c r="C228">
        <v>219.7</v>
      </c>
    </row>
    <row r="229" spans="1:3" x14ac:dyDescent="0.3">
      <c r="A229" s="1">
        <v>43572</v>
      </c>
      <c r="B229" s="4" t="s">
        <v>2</v>
      </c>
      <c r="C229">
        <v>254.7</v>
      </c>
    </row>
    <row r="230" spans="1:3" x14ac:dyDescent="0.3">
      <c r="A230" s="1">
        <v>43572</v>
      </c>
      <c r="B230" s="4" t="s">
        <v>3</v>
      </c>
      <c r="C230">
        <v>133.5</v>
      </c>
    </row>
    <row r="231" spans="1:3" x14ac:dyDescent="0.3">
      <c r="A231" s="1">
        <v>43572</v>
      </c>
      <c r="B231" s="4" t="s">
        <v>4</v>
      </c>
      <c r="C231">
        <v>446.8</v>
      </c>
    </row>
    <row r="232" spans="1:3" x14ac:dyDescent="0.3">
      <c r="A232" s="1">
        <v>43573</v>
      </c>
      <c r="B232" s="4" t="s">
        <v>0</v>
      </c>
      <c r="C232">
        <v>281.5</v>
      </c>
    </row>
    <row r="233" spans="1:3" x14ac:dyDescent="0.3">
      <c r="A233" s="1">
        <v>43573</v>
      </c>
      <c r="B233" s="4" t="s">
        <v>1</v>
      </c>
      <c r="C233">
        <v>224.5</v>
      </c>
    </row>
    <row r="234" spans="1:3" x14ac:dyDescent="0.3">
      <c r="A234" s="1">
        <v>43573</v>
      </c>
      <c r="B234" s="4" t="s">
        <v>2</v>
      </c>
      <c r="C234">
        <v>255.7</v>
      </c>
    </row>
    <row r="235" spans="1:3" x14ac:dyDescent="0.3">
      <c r="A235" s="1">
        <v>43573</v>
      </c>
      <c r="B235" s="4" t="s">
        <v>3</v>
      </c>
      <c r="C235">
        <v>136.69999999999999</v>
      </c>
    </row>
    <row r="236" spans="1:3" x14ac:dyDescent="0.3">
      <c r="A236" s="1">
        <v>43573</v>
      </c>
      <c r="B236" s="4" t="s">
        <v>4</v>
      </c>
      <c r="C236">
        <v>452.6</v>
      </c>
    </row>
    <row r="237" spans="1:3" x14ac:dyDescent="0.3">
      <c r="A237" s="1">
        <v>43574</v>
      </c>
      <c r="B237" s="4" t="s">
        <v>0</v>
      </c>
      <c r="C237">
        <v>286</v>
      </c>
    </row>
    <row r="238" spans="1:3" x14ac:dyDescent="0.3">
      <c r="A238" s="1">
        <v>43574</v>
      </c>
      <c r="B238" s="4" t="s">
        <v>1</v>
      </c>
      <c r="C238">
        <v>211.8</v>
      </c>
    </row>
    <row r="239" spans="1:3" x14ac:dyDescent="0.3">
      <c r="A239" s="1">
        <v>43574</v>
      </c>
      <c r="B239" s="4" t="s">
        <v>2</v>
      </c>
      <c r="C239">
        <v>246.4</v>
      </c>
    </row>
    <row r="240" spans="1:3" x14ac:dyDescent="0.3">
      <c r="A240" s="1">
        <v>43574</v>
      </c>
      <c r="B240" s="4" t="s">
        <v>3</v>
      </c>
      <c r="C240">
        <v>136</v>
      </c>
    </row>
    <row r="241" spans="1:3" x14ac:dyDescent="0.3">
      <c r="A241" s="1">
        <v>43574</v>
      </c>
      <c r="B241" s="4" t="s">
        <v>4</v>
      </c>
      <c r="C241">
        <v>445.1</v>
      </c>
    </row>
    <row r="242" spans="1:3" x14ac:dyDescent="0.3">
      <c r="A242" s="1">
        <v>43575</v>
      </c>
      <c r="B242" s="4" t="s">
        <v>0</v>
      </c>
      <c r="C242">
        <v>121.8</v>
      </c>
    </row>
    <row r="243" spans="1:3" x14ac:dyDescent="0.3">
      <c r="A243" s="1">
        <v>43575</v>
      </c>
      <c r="B243" s="4" t="s">
        <v>1</v>
      </c>
      <c r="C243">
        <v>120.5</v>
      </c>
    </row>
    <row r="244" spans="1:3" x14ac:dyDescent="0.3">
      <c r="A244" s="1">
        <v>43575</v>
      </c>
      <c r="B244" s="4" t="s">
        <v>2</v>
      </c>
      <c r="C244">
        <v>242.6</v>
      </c>
    </row>
    <row r="245" spans="1:3" x14ac:dyDescent="0.3">
      <c r="A245" s="1">
        <v>43575</v>
      </c>
      <c r="B245" s="4" t="s">
        <v>3</v>
      </c>
      <c r="C245">
        <v>63.9</v>
      </c>
    </row>
    <row r="246" spans="1:3" x14ac:dyDescent="0.3">
      <c r="A246" s="1">
        <v>43575</v>
      </c>
      <c r="B246" s="4" t="s">
        <v>4</v>
      </c>
      <c r="C246">
        <v>259.89999999999998</v>
      </c>
    </row>
    <row r="247" spans="1:3" x14ac:dyDescent="0.3">
      <c r="A247" s="1">
        <v>43576</v>
      </c>
      <c r="B247" s="4" t="s">
        <v>0</v>
      </c>
      <c r="C247">
        <v>124.8</v>
      </c>
    </row>
    <row r="248" spans="1:3" x14ac:dyDescent="0.3">
      <c r="A248" s="1">
        <v>43576</v>
      </c>
      <c r="B248" s="4" t="s">
        <v>1</v>
      </c>
      <c r="C248">
        <v>124.7</v>
      </c>
    </row>
    <row r="249" spans="1:3" x14ac:dyDescent="0.3">
      <c r="A249" s="1">
        <v>43576</v>
      </c>
      <c r="B249" s="4" t="s">
        <v>2</v>
      </c>
      <c r="C249">
        <v>244.8</v>
      </c>
    </row>
    <row r="250" spans="1:3" x14ac:dyDescent="0.3">
      <c r="A250" s="1">
        <v>43576</v>
      </c>
      <c r="B250" s="4" t="s">
        <v>3</v>
      </c>
      <c r="C250">
        <v>63.6</v>
      </c>
    </row>
    <row r="251" spans="1:3" x14ac:dyDescent="0.3">
      <c r="A251" s="1">
        <v>43576</v>
      </c>
      <c r="B251" s="4" t="s">
        <v>4</v>
      </c>
      <c r="C251">
        <v>250</v>
      </c>
    </row>
    <row r="252" spans="1:3" x14ac:dyDescent="0.3">
      <c r="A252" s="1">
        <v>43577</v>
      </c>
      <c r="B252" s="4" t="s">
        <v>0</v>
      </c>
      <c r="C252">
        <v>124.9</v>
      </c>
    </row>
    <row r="253" spans="1:3" x14ac:dyDescent="0.3">
      <c r="A253" s="1">
        <v>43577</v>
      </c>
      <c r="B253" s="4" t="s">
        <v>1</v>
      </c>
      <c r="C253">
        <v>124.8</v>
      </c>
    </row>
    <row r="254" spans="1:3" x14ac:dyDescent="0.3">
      <c r="A254" s="1">
        <v>43577</v>
      </c>
      <c r="B254" s="4" t="s">
        <v>2</v>
      </c>
      <c r="C254">
        <v>245.1</v>
      </c>
    </row>
    <row r="255" spans="1:3" x14ac:dyDescent="0.3">
      <c r="A255" s="1">
        <v>43577</v>
      </c>
      <c r="B255" s="4" t="s">
        <v>3</v>
      </c>
      <c r="C255">
        <v>63.8</v>
      </c>
    </row>
    <row r="256" spans="1:3" x14ac:dyDescent="0.3">
      <c r="A256" s="1">
        <v>43577</v>
      </c>
      <c r="B256" s="4" t="s">
        <v>4</v>
      </c>
      <c r="C256">
        <v>257.7</v>
      </c>
    </row>
    <row r="257" spans="1:3" x14ac:dyDescent="0.3">
      <c r="A257" s="1">
        <v>43578</v>
      </c>
      <c r="B257" s="4" t="s">
        <v>0</v>
      </c>
      <c r="C257">
        <v>121.8</v>
      </c>
    </row>
    <row r="258" spans="1:3" x14ac:dyDescent="0.3">
      <c r="A258" s="1">
        <v>43578</v>
      </c>
      <c r="B258" s="4" t="s">
        <v>1</v>
      </c>
      <c r="C258">
        <v>123</v>
      </c>
    </row>
    <row r="259" spans="1:3" x14ac:dyDescent="0.3">
      <c r="A259" s="1">
        <v>43578</v>
      </c>
      <c r="B259" s="4" t="s">
        <v>2</v>
      </c>
      <c r="C259">
        <v>245.7</v>
      </c>
    </row>
    <row r="260" spans="1:3" x14ac:dyDescent="0.3">
      <c r="A260" s="1">
        <v>43578</v>
      </c>
      <c r="B260" s="4" t="s">
        <v>3</v>
      </c>
      <c r="C260">
        <v>62.5</v>
      </c>
    </row>
    <row r="261" spans="1:3" x14ac:dyDescent="0.3">
      <c r="A261" s="1">
        <v>43578</v>
      </c>
      <c r="B261" s="4" t="s">
        <v>4</v>
      </c>
      <c r="C261">
        <v>250.6</v>
      </c>
    </row>
    <row r="262" spans="1:3" x14ac:dyDescent="0.3">
      <c r="A262" s="1">
        <v>43579</v>
      </c>
      <c r="B262" s="4" t="s">
        <v>0</v>
      </c>
      <c r="C262">
        <v>113</v>
      </c>
    </row>
    <row r="263" spans="1:3" x14ac:dyDescent="0.3">
      <c r="A263" s="1">
        <v>43579</v>
      </c>
      <c r="B263" s="4" t="s">
        <v>1</v>
      </c>
      <c r="C263">
        <v>123</v>
      </c>
    </row>
    <row r="264" spans="1:3" x14ac:dyDescent="0.3">
      <c r="A264" s="1">
        <v>43579</v>
      </c>
      <c r="B264" s="4" t="s">
        <v>2</v>
      </c>
      <c r="C264">
        <v>246.2</v>
      </c>
    </row>
    <row r="265" spans="1:3" x14ac:dyDescent="0.3">
      <c r="A265" s="1">
        <v>43579</v>
      </c>
      <c r="B265" s="4" t="s">
        <v>3</v>
      </c>
      <c r="C265">
        <v>63.8</v>
      </c>
    </row>
    <row r="266" spans="1:3" x14ac:dyDescent="0.3">
      <c r="A266" s="1">
        <v>43579</v>
      </c>
      <c r="B266" s="4" t="s">
        <v>4</v>
      </c>
      <c r="C266">
        <v>274.89999999999998</v>
      </c>
    </row>
    <row r="267" spans="1:3" x14ac:dyDescent="0.3">
      <c r="A267" s="1">
        <v>43580</v>
      </c>
      <c r="B267" s="4" t="s">
        <v>0</v>
      </c>
      <c r="C267">
        <v>96.9</v>
      </c>
    </row>
    <row r="268" spans="1:3" x14ac:dyDescent="0.3">
      <c r="A268" s="1">
        <v>43580</v>
      </c>
      <c r="B268" s="4" t="s">
        <v>1</v>
      </c>
      <c r="C268">
        <v>108</v>
      </c>
    </row>
    <row r="269" spans="1:3" x14ac:dyDescent="0.3">
      <c r="A269" s="1">
        <v>43580</v>
      </c>
      <c r="B269" s="4" t="s">
        <v>2</v>
      </c>
      <c r="C269">
        <v>236</v>
      </c>
    </row>
    <row r="270" spans="1:3" x14ac:dyDescent="0.3">
      <c r="A270" s="1">
        <v>43580</v>
      </c>
      <c r="B270" s="4" t="s">
        <v>3</v>
      </c>
      <c r="C270">
        <v>60.3</v>
      </c>
    </row>
    <row r="271" spans="1:3" x14ac:dyDescent="0.3">
      <c r="A271" s="1">
        <v>43580</v>
      </c>
      <c r="B271" s="4" t="s">
        <v>4</v>
      </c>
      <c r="C271">
        <v>247.3</v>
      </c>
    </row>
    <row r="272" spans="1:3" x14ac:dyDescent="0.3">
      <c r="A272" s="1">
        <v>43581</v>
      </c>
      <c r="B272" s="4" t="s">
        <v>0</v>
      </c>
      <c r="C272">
        <v>97.8</v>
      </c>
    </row>
    <row r="273" spans="1:3" x14ac:dyDescent="0.3">
      <c r="A273" s="1">
        <v>43581</v>
      </c>
      <c r="B273" s="4" t="s">
        <v>1</v>
      </c>
      <c r="C273">
        <v>94.5</v>
      </c>
    </row>
    <row r="274" spans="1:3" x14ac:dyDescent="0.3">
      <c r="A274" s="1">
        <v>43581</v>
      </c>
      <c r="B274" s="4" t="s">
        <v>2</v>
      </c>
      <c r="C274">
        <v>230.1</v>
      </c>
    </row>
    <row r="275" spans="1:3" x14ac:dyDescent="0.3">
      <c r="A275" s="1">
        <v>43581</v>
      </c>
      <c r="B275" s="4" t="s">
        <v>3</v>
      </c>
      <c r="C275">
        <v>57.9</v>
      </c>
    </row>
    <row r="276" spans="1:3" x14ac:dyDescent="0.3">
      <c r="A276" s="1">
        <v>43581</v>
      </c>
      <c r="B276" s="4" t="s">
        <v>4</v>
      </c>
      <c r="C276">
        <v>215.8</v>
      </c>
    </row>
    <row r="277" spans="1:3" x14ac:dyDescent="0.3">
      <c r="A277" s="1">
        <v>43582</v>
      </c>
      <c r="B277" s="4" t="s">
        <v>0</v>
      </c>
      <c r="C277">
        <v>112.8</v>
      </c>
    </row>
    <row r="278" spans="1:3" x14ac:dyDescent="0.3">
      <c r="A278" s="1">
        <v>43582</v>
      </c>
      <c r="B278" s="4" t="s">
        <v>1</v>
      </c>
      <c r="C278">
        <v>125.5</v>
      </c>
    </row>
    <row r="279" spans="1:3" x14ac:dyDescent="0.3">
      <c r="A279" s="1">
        <v>43582</v>
      </c>
      <c r="B279" s="4" t="s">
        <v>2</v>
      </c>
      <c r="C279">
        <v>232.5</v>
      </c>
    </row>
    <row r="280" spans="1:3" x14ac:dyDescent="0.3">
      <c r="A280" s="1">
        <v>43582</v>
      </c>
      <c r="B280" s="4" t="s">
        <v>3</v>
      </c>
      <c r="C280">
        <v>74.2</v>
      </c>
    </row>
    <row r="281" spans="1:3" x14ac:dyDescent="0.3">
      <c r="A281" s="1">
        <v>43582</v>
      </c>
      <c r="B281" s="4" t="s">
        <v>4</v>
      </c>
      <c r="C281">
        <v>280.7</v>
      </c>
    </row>
    <row r="282" spans="1:3" x14ac:dyDescent="0.3">
      <c r="A282" s="1">
        <v>43583</v>
      </c>
      <c r="B282" s="4" t="s">
        <v>0</v>
      </c>
      <c r="C282">
        <v>118.6</v>
      </c>
    </row>
    <row r="283" spans="1:3" x14ac:dyDescent="0.3">
      <c r="A283" s="1">
        <v>43583</v>
      </c>
      <c r="B283" s="4" t="s">
        <v>1</v>
      </c>
      <c r="C283">
        <v>131.1</v>
      </c>
    </row>
    <row r="284" spans="1:3" x14ac:dyDescent="0.3">
      <c r="A284" s="1">
        <v>43583</v>
      </c>
      <c r="B284" s="4" t="s">
        <v>2</v>
      </c>
      <c r="C284">
        <v>232.8</v>
      </c>
    </row>
    <row r="285" spans="1:3" x14ac:dyDescent="0.3">
      <c r="A285" s="1">
        <v>43583</v>
      </c>
      <c r="B285" s="4" t="s">
        <v>3</v>
      </c>
      <c r="C285">
        <v>76.900000000000006</v>
      </c>
    </row>
    <row r="286" spans="1:3" x14ac:dyDescent="0.3">
      <c r="A286" s="1">
        <v>43583</v>
      </c>
      <c r="B286" s="4" t="s">
        <v>4</v>
      </c>
      <c r="C286">
        <v>276.60000000000002</v>
      </c>
    </row>
    <row r="287" spans="1:3" x14ac:dyDescent="0.3">
      <c r="A287" s="1">
        <v>43584</v>
      </c>
      <c r="B287" s="4" t="s">
        <v>0</v>
      </c>
      <c r="C287">
        <v>121.2</v>
      </c>
    </row>
    <row r="288" spans="1:3" x14ac:dyDescent="0.3">
      <c r="A288" s="1">
        <v>43584</v>
      </c>
      <c r="B288" s="4" t="s">
        <v>1</v>
      </c>
      <c r="C288">
        <v>132.1</v>
      </c>
    </row>
    <row r="289" spans="1:3" x14ac:dyDescent="0.3">
      <c r="A289" s="1">
        <v>43584</v>
      </c>
      <c r="B289" s="4" t="s">
        <v>2</v>
      </c>
      <c r="C289">
        <v>235.6</v>
      </c>
    </row>
    <row r="290" spans="1:3" x14ac:dyDescent="0.3">
      <c r="A290" s="1">
        <v>43584</v>
      </c>
      <c r="B290" s="4" t="s">
        <v>3</v>
      </c>
      <c r="C290">
        <v>76.900000000000006</v>
      </c>
    </row>
    <row r="291" spans="1:3" x14ac:dyDescent="0.3">
      <c r="A291" s="1">
        <v>43584</v>
      </c>
      <c r="B291" s="4" t="s">
        <v>4</v>
      </c>
      <c r="C291">
        <v>277.3</v>
      </c>
    </row>
    <row r="292" spans="1:3" x14ac:dyDescent="0.3">
      <c r="A292" s="1">
        <v>43585</v>
      </c>
      <c r="B292" s="4" t="s">
        <v>0</v>
      </c>
      <c r="C292">
        <v>123.3</v>
      </c>
    </row>
    <row r="293" spans="1:3" x14ac:dyDescent="0.3">
      <c r="A293" s="1">
        <v>43585</v>
      </c>
      <c r="B293" s="4" t="s">
        <v>1</v>
      </c>
      <c r="C293">
        <v>134.5</v>
      </c>
    </row>
    <row r="294" spans="1:3" x14ac:dyDescent="0.3">
      <c r="A294" s="1">
        <v>43585</v>
      </c>
      <c r="B294" s="4" t="s">
        <v>2</v>
      </c>
      <c r="C294">
        <v>232.7</v>
      </c>
    </row>
    <row r="295" spans="1:3" x14ac:dyDescent="0.3">
      <c r="A295" s="1">
        <v>43585</v>
      </c>
      <c r="B295" s="4" t="s">
        <v>3</v>
      </c>
      <c r="C295">
        <v>79.2</v>
      </c>
    </row>
    <row r="296" spans="1:3" x14ac:dyDescent="0.3">
      <c r="A296" s="1">
        <v>43585</v>
      </c>
      <c r="B296" s="4" t="s">
        <v>4</v>
      </c>
      <c r="C296">
        <v>293.2</v>
      </c>
    </row>
    <row r="297" spans="1:3" x14ac:dyDescent="0.3">
      <c r="A297" s="1">
        <v>43587</v>
      </c>
      <c r="B297" s="4" t="s">
        <v>0</v>
      </c>
      <c r="C297">
        <v>120.9</v>
      </c>
    </row>
    <row r="298" spans="1:3" x14ac:dyDescent="0.3">
      <c r="A298" s="1">
        <v>43587</v>
      </c>
      <c r="B298" s="4" t="s">
        <v>1</v>
      </c>
      <c r="C298">
        <v>133.6</v>
      </c>
    </row>
    <row r="299" spans="1:3" x14ac:dyDescent="0.3">
      <c r="A299" s="1">
        <v>43587</v>
      </c>
      <c r="B299" s="4" t="s">
        <v>2</v>
      </c>
      <c r="C299">
        <v>235</v>
      </c>
    </row>
    <row r="300" spans="1:3" x14ac:dyDescent="0.3">
      <c r="A300" s="1">
        <v>43587</v>
      </c>
      <c r="B300" s="4" t="s">
        <v>3</v>
      </c>
      <c r="C300">
        <v>82</v>
      </c>
    </row>
    <row r="301" spans="1:3" x14ac:dyDescent="0.3">
      <c r="A301" s="1">
        <v>43587</v>
      </c>
      <c r="B301" s="4" t="s">
        <v>4</v>
      </c>
      <c r="C301">
        <v>304.8</v>
      </c>
    </row>
    <row r="302" spans="1:3" x14ac:dyDescent="0.3">
      <c r="A302" s="1">
        <v>43588</v>
      </c>
      <c r="B302" s="4" t="s">
        <v>0</v>
      </c>
      <c r="C302">
        <v>122.1</v>
      </c>
    </row>
    <row r="303" spans="1:3" x14ac:dyDescent="0.3">
      <c r="A303" s="1">
        <v>43588</v>
      </c>
      <c r="B303" s="4" t="s">
        <v>1</v>
      </c>
      <c r="C303">
        <v>133</v>
      </c>
    </row>
    <row r="304" spans="1:3" x14ac:dyDescent="0.3">
      <c r="A304" s="1">
        <v>43588</v>
      </c>
      <c r="B304" s="4" t="s">
        <v>2</v>
      </c>
      <c r="C304">
        <v>234.6</v>
      </c>
    </row>
    <row r="305" spans="1:3" x14ac:dyDescent="0.3">
      <c r="A305" s="1">
        <v>43588</v>
      </c>
      <c r="B305" s="4" t="s">
        <v>3</v>
      </c>
      <c r="C305">
        <v>80.400000000000006</v>
      </c>
    </row>
    <row r="306" spans="1:3" x14ac:dyDescent="0.3">
      <c r="A306" s="1">
        <v>43588</v>
      </c>
      <c r="B306" s="4" t="s">
        <v>4</v>
      </c>
      <c r="C306">
        <v>297</v>
      </c>
    </row>
    <row r="307" spans="1:3" x14ac:dyDescent="0.3">
      <c r="A307" s="1">
        <v>43589</v>
      </c>
      <c r="B307" s="4" t="s">
        <v>0</v>
      </c>
      <c r="C307">
        <v>113.8</v>
      </c>
    </row>
    <row r="308" spans="1:3" x14ac:dyDescent="0.3">
      <c r="A308" s="1">
        <v>43589</v>
      </c>
      <c r="B308" s="4" t="s">
        <v>1</v>
      </c>
      <c r="C308">
        <v>124.6</v>
      </c>
    </row>
    <row r="309" spans="1:3" x14ac:dyDescent="0.3">
      <c r="A309" s="1">
        <v>43589</v>
      </c>
      <c r="B309" s="4" t="s">
        <v>2</v>
      </c>
      <c r="C309">
        <v>231</v>
      </c>
    </row>
    <row r="310" spans="1:3" x14ac:dyDescent="0.3">
      <c r="A310" s="1">
        <v>43589</v>
      </c>
      <c r="B310" s="4" t="s">
        <v>3</v>
      </c>
      <c r="C310">
        <v>78</v>
      </c>
    </row>
    <row r="311" spans="1:3" x14ac:dyDescent="0.3">
      <c r="A311" s="1">
        <v>43589</v>
      </c>
      <c r="B311" s="4" t="s">
        <v>4</v>
      </c>
      <c r="C311">
        <v>308</v>
      </c>
    </row>
    <row r="312" spans="1:3" x14ac:dyDescent="0.3">
      <c r="A312" s="1">
        <v>43590</v>
      </c>
      <c r="B312" s="4" t="s">
        <v>0</v>
      </c>
      <c r="C312">
        <v>213.9</v>
      </c>
    </row>
    <row r="313" spans="1:3" x14ac:dyDescent="0.3">
      <c r="A313" s="1">
        <v>43590</v>
      </c>
      <c r="B313" s="4" t="s">
        <v>1</v>
      </c>
      <c r="C313">
        <v>179.6</v>
      </c>
    </row>
    <row r="314" spans="1:3" x14ac:dyDescent="0.3">
      <c r="A314" s="1">
        <v>43590</v>
      </c>
      <c r="B314" s="4" t="s">
        <v>2</v>
      </c>
      <c r="C314">
        <v>225.8</v>
      </c>
    </row>
    <row r="315" spans="1:3" x14ac:dyDescent="0.3">
      <c r="A315" s="1">
        <v>43590</v>
      </c>
      <c r="B315" s="4" t="s">
        <v>3</v>
      </c>
      <c r="C315">
        <v>98.5</v>
      </c>
    </row>
    <row r="316" spans="1:3" x14ac:dyDescent="0.3">
      <c r="A316" s="1">
        <v>43590</v>
      </c>
      <c r="B316" s="4" t="s">
        <v>4</v>
      </c>
      <c r="C316">
        <v>326.89999999999998</v>
      </c>
    </row>
    <row r="317" spans="1:3" x14ac:dyDescent="0.3">
      <c r="A317" s="1">
        <v>43591</v>
      </c>
      <c r="B317" s="4" t="s">
        <v>0</v>
      </c>
      <c r="C317">
        <v>220.3</v>
      </c>
    </row>
    <row r="318" spans="1:3" x14ac:dyDescent="0.3">
      <c r="A318" s="1">
        <v>43591</v>
      </c>
      <c r="B318" s="4" t="s">
        <v>1</v>
      </c>
      <c r="C318">
        <v>186.1</v>
      </c>
    </row>
    <row r="319" spans="1:3" x14ac:dyDescent="0.3">
      <c r="A319" s="1">
        <v>43591</v>
      </c>
      <c r="B319" s="4" t="s">
        <v>2</v>
      </c>
      <c r="C319">
        <v>228.5</v>
      </c>
    </row>
    <row r="320" spans="1:3" x14ac:dyDescent="0.3">
      <c r="A320" s="1">
        <v>43591</v>
      </c>
      <c r="B320" s="4" t="s">
        <v>3</v>
      </c>
      <c r="C320">
        <v>99.3</v>
      </c>
    </row>
    <row r="321" spans="1:3" x14ac:dyDescent="0.3">
      <c r="A321" s="1">
        <v>43591</v>
      </c>
      <c r="B321" s="4" t="s">
        <v>4</v>
      </c>
      <c r="C321">
        <v>328.4</v>
      </c>
    </row>
    <row r="322" spans="1:3" x14ac:dyDescent="0.3">
      <c r="A322" s="1">
        <v>43592</v>
      </c>
      <c r="B322" s="4" t="s">
        <v>0</v>
      </c>
      <c r="C322">
        <v>222.9</v>
      </c>
    </row>
    <row r="323" spans="1:3" x14ac:dyDescent="0.3">
      <c r="A323" s="1">
        <v>43592</v>
      </c>
      <c r="B323" s="4" t="s">
        <v>1</v>
      </c>
      <c r="C323">
        <v>185.6</v>
      </c>
    </row>
    <row r="324" spans="1:3" x14ac:dyDescent="0.3">
      <c r="A324" s="1">
        <v>43592</v>
      </c>
      <c r="B324" s="4" t="s">
        <v>2</v>
      </c>
      <c r="C324">
        <v>225</v>
      </c>
    </row>
    <row r="325" spans="1:3" x14ac:dyDescent="0.3">
      <c r="A325" s="1">
        <v>43592</v>
      </c>
      <c r="B325" s="4" t="s">
        <v>3</v>
      </c>
      <c r="C325">
        <v>102.4</v>
      </c>
    </row>
    <row r="326" spans="1:3" x14ac:dyDescent="0.3">
      <c r="A326" s="1">
        <v>43592</v>
      </c>
      <c r="B326" s="4" t="s">
        <v>4</v>
      </c>
      <c r="C326">
        <v>335.1</v>
      </c>
    </row>
    <row r="327" spans="1:3" x14ac:dyDescent="0.3">
      <c r="A327" s="1">
        <v>43593</v>
      </c>
      <c r="B327" s="4" t="s">
        <v>0</v>
      </c>
      <c r="C327">
        <v>219.3</v>
      </c>
    </row>
    <row r="328" spans="1:3" x14ac:dyDescent="0.3">
      <c r="A328" s="1">
        <v>43593</v>
      </c>
      <c r="B328" s="4" t="s">
        <v>1</v>
      </c>
      <c r="C328">
        <v>184.2</v>
      </c>
    </row>
    <row r="329" spans="1:3" x14ac:dyDescent="0.3">
      <c r="A329" s="1">
        <v>43593</v>
      </c>
      <c r="B329" s="4" t="s">
        <v>2</v>
      </c>
      <c r="C329">
        <v>226.6</v>
      </c>
    </row>
    <row r="330" spans="1:3" x14ac:dyDescent="0.3">
      <c r="A330" s="1">
        <v>43593</v>
      </c>
      <c r="B330" s="4" t="s">
        <v>3</v>
      </c>
      <c r="C330">
        <v>102.6</v>
      </c>
    </row>
    <row r="331" spans="1:3" x14ac:dyDescent="0.3">
      <c r="A331" s="1">
        <v>43593</v>
      </c>
      <c r="B331" s="4" t="s">
        <v>4</v>
      </c>
      <c r="C331">
        <v>301.8</v>
      </c>
    </row>
    <row r="332" spans="1:3" x14ac:dyDescent="0.3">
      <c r="A332" s="1">
        <v>43594</v>
      </c>
      <c r="B332" s="4" t="s">
        <v>0</v>
      </c>
      <c r="C332">
        <v>197.7</v>
      </c>
    </row>
    <row r="333" spans="1:3" x14ac:dyDescent="0.3">
      <c r="A333" s="1">
        <v>43594</v>
      </c>
      <c r="B333" s="4" t="s">
        <v>1</v>
      </c>
      <c r="C333">
        <v>179.5</v>
      </c>
    </row>
    <row r="334" spans="1:3" x14ac:dyDescent="0.3">
      <c r="A334" s="1">
        <v>43594</v>
      </c>
      <c r="B334" s="4" t="s">
        <v>2</v>
      </c>
      <c r="C334">
        <v>222</v>
      </c>
    </row>
    <row r="335" spans="1:3" x14ac:dyDescent="0.3">
      <c r="A335" s="1">
        <v>43594</v>
      </c>
      <c r="B335" s="4" t="s">
        <v>3</v>
      </c>
      <c r="C335">
        <v>100.9</v>
      </c>
    </row>
    <row r="336" spans="1:3" x14ac:dyDescent="0.3">
      <c r="A336" s="1">
        <v>43594</v>
      </c>
      <c r="B336" s="4" t="s">
        <v>4</v>
      </c>
      <c r="C336">
        <v>276.3</v>
      </c>
    </row>
    <row r="337" spans="1:3" x14ac:dyDescent="0.3">
      <c r="A337" s="1">
        <v>43595</v>
      </c>
      <c r="B337" s="4" t="s">
        <v>0</v>
      </c>
      <c r="C337">
        <v>165.1</v>
      </c>
    </row>
    <row r="338" spans="1:3" x14ac:dyDescent="0.3">
      <c r="A338" s="1">
        <v>43595</v>
      </c>
      <c r="B338" s="4" t="s">
        <v>1</v>
      </c>
      <c r="C338">
        <v>169.3</v>
      </c>
    </row>
    <row r="339" spans="1:3" x14ac:dyDescent="0.3">
      <c r="A339" s="1">
        <v>43595</v>
      </c>
      <c r="B339" s="4" t="s">
        <v>2</v>
      </c>
      <c r="C339">
        <v>210.8</v>
      </c>
    </row>
    <row r="340" spans="1:3" x14ac:dyDescent="0.3">
      <c r="A340" s="1">
        <v>43595</v>
      </c>
      <c r="B340" s="4" t="s">
        <v>3</v>
      </c>
      <c r="C340">
        <v>94.6</v>
      </c>
    </row>
    <row r="341" spans="1:3" x14ac:dyDescent="0.3">
      <c r="A341" s="1">
        <v>43595</v>
      </c>
      <c r="B341" s="4" t="s">
        <v>4</v>
      </c>
      <c r="C341">
        <v>261.3</v>
      </c>
    </row>
    <row r="342" spans="1:3" x14ac:dyDescent="0.3">
      <c r="A342" s="1">
        <v>43596</v>
      </c>
      <c r="B342" s="4" t="s">
        <v>0</v>
      </c>
      <c r="C342">
        <v>122.6</v>
      </c>
    </row>
    <row r="343" spans="1:3" x14ac:dyDescent="0.3">
      <c r="A343" s="1">
        <v>43596</v>
      </c>
      <c r="B343" s="4" t="s">
        <v>1</v>
      </c>
      <c r="C343">
        <v>143</v>
      </c>
    </row>
    <row r="344" spans="1:3" x14ac:dyDescent="0.3">
      <c r="A344" s="1">
        <v>43596</v>
      </c>
      <c r="B344" s="4" t="s">
        <v>2</v>
      </c>
      <c r="C344">
        <v>197.9</v>
      </c>
    </row>
    <row r="345" spans="1:3" x14ac:dyDescent="0.3">
      <c r="A345" s="1">
        <v>43596</v>
      </c>
      <c r="B345" s="4" t="s">
        <v>3</v>
      </c>
      <c r="C345">
        <v>84.7</v>
      </c>
    </row>
    <row r="346" spans="1:3" x14ac:dyDescent="0.3">
      <c r="A346" s="1">
        <v>43596</v>
      </c>
      <c r="B346" s="4" t="s">
        <v>4</v>
      </c>
      <c r="C346">
        <v>244.4</v>
      </c>
    </row>
    <row r="347" spans="1:3" x14ac:dyDescent="0.3">
      <c r="A347" s="1">
        <v>43597</v>
      </c>
      <c r="B347" s="4" t="s">
        <v>0</v>
      </c>
      <c r="C347">
        <v>245.9</v>
      </c>
    </row>
    <row r="348" spans="1:3" x14ac:dyDescent="0.3">
      <c r="A348" s="1">
        <v>43597</v>
      </c>
      <c r="B348" s="4" t="s">
        <v>1</v>
      </c>
      <c r="C348">
        <v>194.3</v>
      </c>
    </row>
    <row r="349" spans="1:3" x14ac:dyDescent="0.3">
      <c r="A349" s="1">
        <v>43597</v>
      </c>
      <c r="B349" s="4" t="s">
        <v>2</v>
      </c>
      <c r="C349">
        <v>242.2</v>
      </c>
    </row>
    <row r="350" spans="1:3" x14ac:dyDescent="0.3">
      <c r="A350" s="1">
        <v>43597</v>
      </c>
      <c r="B350" s="4" t="s">
        <v>3</v>
      </c>
      <c r="C350">
        <v>116.6</v>
      </c>
    </row>
    <row r="351" spans="1:3" x14ac:dyDescent="0.3">
      <c r="A351" s="1">
        <v>43597</v>
      </c>
      <c r="B351" s="4" t="s">
        <v>4</v>
      </c>
      <c r="C351">
        <v>422.1</v>
      </c>
    </row>
    <row r="352" spans="1:3" x14ac:dyDescent="0.3">
      <c r="A352" s="1">
        <v>43598</v>
      </c>
      <c r="B352" s="4" t="s">
        <v>0</v>
      </c>
      <c r="C352">
        <v>253.7</v>
      </c>
    </row>
    <row r="353" spans="1:3" x14ac:dyDescent="0.3">
      <c r="A353" s="1">
        <v>43598</v>
      </c>
      <c r="B353" s="4" t="s">
        <v>1</v>
      </c>
      <c r="C353">
        <v>211.3</v>
      </c>
    </row>
    <row r="354" spans="1:3" x14ac:dyDescent="0.3">
      <c r="A354" s="1">
        <v>43598</v>
      </c>
      <c r="B354" s="4" t="s">
        <v>2</v>
      </c>
      <c r="C354">
        <v>251.4</v>
      </c>
    </row>
    <row r="355" spans="1:3" x14ac:dyDescent="0.3">
      <c r="A355" s="1">
        <v>43598</v>
      </c>
      <c r="B355" s="4" t="s">
        <v>3</v>
      </c>
      <c r="C355">
        <v>129</v>
      </c>
    </row>
    <row r="356" spans="1:3" x14ac:dyDescent="0.3">
      <c r="A356" s="1">
        <v>43598</v>
      </c>
      <c r="B356" s="4" t="s">
        <v>4</v>
      </c>
      <c r="C356">
        <v>428.8</v>
      </c>
    </row>
    <row r="357" spans="1:3" x14ac:dyDescent="0.3">
      <c r="A357" s="1">
        <v>43599</v>
      </c>
      <c r="B357" s="4" t="s">
        <v>0</v>
      </c>
      <c r="C357">
        <v>264.8</v>
      </c>
    </row>
    <row r="358" spans="1:3" x14ac:dyDescent="0.3">
      <c r="A358" s="1">
        <v>43599</v>
      </c>
      <c r="B358" s="4" t="s">
        <v>1</v>
      </c>
      <c r="C358">
        <v>208.1</v>
      </c>
    </row>
    <row r="359" spans="1:3" x14ac:dyDescent="0.3">
      <c r="A359" s="1">
        <v>43599</v>
      </c>
      <c r="B359" s="4" t="s">
        <v>2</v>
      </c>
      <c r="C359">
        <v>256.8</v>
      </c>
    </row>
    <row r="360" spans="1:3" x14ac:dyDescent="0.3">
      <c r="A360" s="1">
        <v>43599</v>
      </c>
      <c r="B360" s="4" t="s">
        <v>3</v>
      </c>
      <c r="C360">
        <v>130.4</v>
      </c>
    </row>
    <row r="361" spans="1:3" x14ac:dyDescent="0.3">
      <c r="A361" s="1">
        <v>43599</v>
      </c>
      <c r="B361" s="4" t="s">
        <v>4</v>
      </c>
      <c r="C361">
        <v>406.8</v>
      </c>
    </row>
    <row r="362" spans="1:3" x14ac:dyDescent="0.3">
      <c r="A362" s="1">
        <v>43600</v>
      </c>
      <c r="B362" s="4" t="s">
        <v>0</v>
      </c>
      <c r="C362">
        <v>229.6</v>
      </c>
    </row>
    <row r="363" spans="1:3" x14ac:dyDescent="0.3">
      <c r="A363" s="1">
        <v>43600</v>
      </c>
      <c r="B363" s="4" t="s">
        <v>1</v>
      </c>
      <c r="C363">
        <v>183.2</v>
      </c>
    </row>
    <row r="364" spans="1:3" x14ac:dyDescent="0.3">
      <c r="A364" s="1">
        <v>43600</v>
      </c>
      <c r="B364" s="4" t="s">
        <v>2</v>
      </c>
      <c r="C364">
        <v>219.3</v>
      </c>
    </row>
    <row r="365" spans="1:3" x14ac:dyDescent="0.3">
      <c r="A365" s="1">
        <v>43600</v>
      </c>
      <c r="B365" s="4" t="s">
        <v>3</v>
      </c>
      <c r="C365">
        <v>115.2</v>
      </c>
    </row>
    <row r="366" spans="1:3" x14ac:dyDescent="0.3">
      <c r="A366" s="1">
        <v>43600</v>
      </c>
      <c r="B366" s="4" t="s">
        <v>4</v>
      </c>
      <c r="C366">
        <v>372.2</v>
      </c>
    </row>
    <row r="367" spans="1:3" x14ac:dyDescent="0.3">
      <c r="A367" s="1">
        <v>43601</v>
      </c>
      <c r="B367" s="4" t="s">
        <v>0</v>
      </c>
      <c r="C367">
        <v>220.4</v>
      </c>
    </row>
    <row r="368" spans="1:3" x14ac:dyDescent="0.3">
      <c r="A368" s="1">
        <v>43601</v>
      </c>
      <c r="B368" s="4" t="s">
        <v>1</v>
      </c>
      <c r="C368">
        <v>177.2</v>
      </c>
    </row>
    <row r="369" spans="1:3" x14ac:dyDescent="0.3">
      <c r="A369" s="1">
        <v>43601</v>
      </c>
      <c r="B369" s="4" t="s">
        <v>2</v>
      </c>
      <c r="C369">
        <v>218.3</v>
      </c>
    </row>
    <row r="370" spans="1:3" x14ac:dyDescent="0.3">
      <c r="A370" s="1">
        <v>43601</v>
      </c>
      <c r="B370" s="4" t="s">
        <v>3</v>
      </c>
      <c r="C370">
        <v>109.3</v>
      </c>
    </row>
    <row r="371" spans="1:3" x14ac:dyDescent="0.3">
      <c r="A371" s="1">
        <v>43601</v>
      </c>
      <c r="B371" s="4" t="s">
        <v>4</v>
      </c>
      <c r="C371">
        <v>357.5</v>
      </c>
    </row>
    <row r="372" spans="1:3" x14ac:dyDescent="0.3">
      <c r="A372" s="1">
        <v>43602</v>
      </c>
      <c r="B372" s="4" t="s">
        <v>0</v>
      </c>
      <c r="C372">
        <v>206.3</v>
      </c>
    </row>
    <row r="373" spans="1:3" x14ac:dyDescent="0.3">
      <c r="A373" s="1">
        <v>43602</v>
      </c>
      <c r="B373" s="4" t="s">
        <v>1</v>
      </c>
      <c r="C373">
        <v>157.80000000000001</v>
      </c>
    </row>
    <row r="374" spans="1:3" x14ac:dyDescent="0.3">
      <c r="A374" s="1">
        <v>43602</v>
      </c>
      <c r="B374" s="4" t="s">
        <v>2</v>
      </c>
      <c r="C374">
        <v>198.7</v>
      </c>
    </row>
    <row r="375" spans="1:3" x14ac:dyDescent="0.3">
      <c r="A375" s="1">
        <v>43602</v>
      </c>
      <c r="B375" s="4" t="s">
        <v>3</v>
      </c>
      <c r="C375">
        <v>100.7</v>
      </c>
    </row>
    <row r="376" spans="1:3" x14ac:dyDescent="0.3">
      <c r="A376" s="1">
        <v>43602</v>
      </c>
      <c r="B376" s="4" t="s">
        <v>4</v>
      </c>
      <c r="C376">
        <v>359.1</v>
      </c>
    </row>
    <row r="377" spans="1:3" x14ac:dyDescent="0.3">
      <c r="A377" s="1">
        <v>43603</v>
      </c>
      <c r="B377" s="4" t="s">
        <v>0</v>
      </c>
      <c r="C377">
        <v>210.9</v>
      </c>
    </row>
    <row r="378" spans="1:3" x14ac:dyDescent="0.3">
      <c r="A378" s="1">
        <v>43603</v>
      </c>
      <c r="B378" s="4" t="s">
        <v>1</v>
      </c>
      <c r="C378">
        <v>153.9</v>
      </c>
    </row>
    <row r="379" spans="1:3" x14ac:dyDescent="0.3">
      <c r="A379" s="1">
        <v>43603</v>
      </c>
      <c r="B379" s="4" t="s">
        <v>2</v>
      </c>
      <c r="C379">
        <v>159.30000000000001</v>
      </c>
    </row>
    <row r="380" spans="1:3" x14ac:dyDescent="0.3">
      <c r="A380" s="1">
        <v>43603</v>
      </c>
      <c r="B380" s="4" t="s">
        <v>3</v>
      </c>
      <c r="C380">
        <v>98.9</v>
      </c>
    </row>
    <row r="381" spans="1:3" x14ac:dyDescent="0.3">
      <c r="A381" s="1">
        <v>43603</v>
      </c>
      <c r="B381" s="4" t="s">
        <v>4</v>
      </c>
      <c r="C381">
        <v>364.1</v>
      </c>
    </row>
    <row r="382" spans="1:3" x14ac:dyDescent="0.3">
      <c r="A382" s="1">
        <v>43604</v>
      </c>
      <c r="B382" s="4" t="s">
        <v>0</v>
      </c>
      <c r="C382">
        <v>122.1</v>
      </c>
    </row>
    <row r="383" spans="1:3" x14ac:dyDescent="0.3">
      <c r="A383" s="1">
        <v>43604</v>
      </c>
      <c r="B383" s="4" t="s">
        <v>1</v>
      </c>
      <c r="C383">
        <v>128.19999999999999</v>
      </c>
    </row>
    <row r="384" spans="1:3" x14ac:dyDescent="0.3">
      <c r="A384" s="1">
        <v>43604</v>
      </c>
      <c r="B384" s="4" t="s">
        <v>2</v>
      </c>
      <c r="C384">
        <v>205.5</v>
      </c>
    </row>
    <row r="385" spans="1:3" x14ac:dyDescent="0.3">
      <c r="A385" s="1">
        <v>43604</v>
      </c>
      <c r="B385" s="4" t="s">
        <v>3</v>
      </c>
      <c r="C385">
        <v>91.9</v>
      </c>
    </row>
    <row r="386" spans="1:3" x14ac:dyDescent="0.3">
      <c r="A386" s="1">
        <v>43604</v>
      </c>
      <c r="B386" s="4" t="s">
        <v>4</v>
      </c>
      <c r="C386">
        <v>342.3</v>
      </c>
    </row>
    <row r="387" spans="1:3" x14ac:dyDescent="0.3">
      <c r="A387" s="1">
        <v>43605</v>
      </c>
      <c r="B387" s="4" t="s">
        <v>0</v>
      </c>
      <c r="C387">
        <v>129</v>
      </c>
    </row>
    <row r="388" spans="1:3" x14ac:dyDescent="0.3">
      <c r="A388" s="1">
        <v>43605</v>
      </c>
      <c r="B388" s="4" t="s">
        <v>1</v>
      </c>
      <c r="C388">
        <v>138.6</v>
      </c>
    </row>
    <row r="389" spans="1:3" x14ac:dyDescent="0.3">
      <c r="A389" s="1">
        <v>43605</v>
      </c>
      <c r="B389" s="4" t="s">
        <v>2</v>
      </c>
      <c r="C389">
        <v>216.8</v>
      </c>
    </row>
    <row r="390" spans="1:3" x14ac:dyDescent="0.3">
      <c r="A390" s="1">
        <v>43605</v>
      </c>
      <c r="B390" s="4" t="s">
        <v>3</v>
      </c>
      <c r="C390">
        <v>99.3</v>
      </c>
    </row>
    <row r="391" spans="1:3" x14ac:dyDescent="0.3">
      <c r="A391" s="1">
        <v>43605</v>
      </c>
      <c r="B391" s="4" t="s">
        <v>4</v>
      </c>
      <c r="C391">
        <v>362</v>
      </c>
    </row>
    <row r="392" spans="1:3" x14ac:dyDescent="0.3">
      <c r="A392" s="1">
        <v>43606</v>
      </c>
      <c r="B392" s="4" t="s">
        <v>0</v>
      </c>
      <c r="C392">
        <v>108.6</v>
      </c>
    </row>
    <row r="393" spans="1:3" x14ac:dyDescent="0.3">
      <c r="A393" s="1">
        <v>43606</v>
      </c>
      <c r="B393" s="4" t="s">
        <v>1</v>
      </c>
      <c r="C393">
        <v>141.69999999999999</v>
      </c>
    </row>
    <row r="394" spans="1:3" x14ac:dyDescent="0.3">
      <c r="A394" s="1">
        <v>43606</v>
      </c>
      <c r="B394" s="4" t="s">
        <v>2</v>
      </c>
      <c r="C394">
        <v>221.1</v>
      </c>
    </row>
    <row r="395" spans="1:3" x14ac:dyDescent="0.3">
      <c r="A395" s="1">
        <v>43606</v>
      </c>
      <c r="B395" s="4" t="s">
        <v>3</v>
      </c>
      <c r="C395">
        <v>106.7</v>
      </c>
    </row>
    <row r="396" spans="1:3" x14ac:dyDescent="0.3">
      <c r="A396" s="1">
        <v>43606</v>
      </c>
      <c r="B396" s="4" t="s">
        <v>4</v>
      </c>
      <c r="C396">
        <v>380.7</v>
      </c>
    </row>
    <row r="397" spans="1:3" x14ac:dyDescent="0.3">
      <c r="A397" s="1">
        <v>43607</v>
      </c>
      <c r="B397" s="4" t="s">
        <v>0</v>
      </c>
      <c r="C397">
        <v>126.4</v>
      </c>
    </row>
    <row r="398" spans="1:3" x14ac:dyDescent="0.3">
      <c r="A398" s="1">
        <v>43607</v>
      </c>
      <c r="B398" s="4" t="s">
        <v>1</v>
      </c>
      <c r="C398">
        <v>144.5</v>
      </c>
    </row>
    <row r="399" spans="1:3" x14ac:dyDescent="0.3">
      <c r="A399" s="1">
        <v>43607</v>
      </c>
      <c r="B399" s="4" t="s">
        <v>2</v>
      </c>
      <c r="C399">
        <v>226.7</v>
      </c>
    </row>
    <row r="400" spans="1:3" x14ac:dyDescent="0.3">
      <c r="A400" s="1">
        <v>43607</v>
      </c>
      <c r="B400" s="4" t="s">
        <v>3</v>
      </c>
      <c r="C400">
        <v>111.4</v>
      </c>
    </row>
    <row r="401" spans="1:3" x14ac:dyDescent="0.3">
      <c r="A401" s="1">
        <v>43607</v>
      </c>
      <c r="B401" s="4" t="s">
        <v>4</v>
      </c>
      <c r="C401">
        <v>387.1</v>
      </c>
    </row>
    <row r="402" spans="1:3" x14ac:dyDescent="0.3">
      <c r="A402" s="1">
        <v>43608</v>
      </c>
      <c r="B402" s="4" t="s">
        <v>0</v>
      </c>
      <c r="C402">
        <v>132.69999999999999</v>
      </c>
    </row>
    <row r="403" spans="1:3" x14ac:dyDescent="0.3">
      <c r="A403" s="1">
        <v>43608</v>
      </c>
      <c r="B403" s="4" t="s">
        <v>1</v>
      </c>
      <c r="C403">
        <v>146.69999999999999</v>
      </c>
    </row>
    <row r="404" spans="1:3" x14ac:dyDescent="0.3">
      <c r="A404" s="1">
        <v>43608</v>
      </c>
      <c r="B404" s="4" t="s">
        <v>2</v>
      </c>
      <c r="C404">
        <v>226.5</v>
      </c>
    </row>
    <row r="405" spans="1:3" x14ac:dyDescent="0.3">
      <c r="A405" s="1">
        <v>43608</v>
      </c>
      <c r="B405" s="4" t="s">
        <v>3</v>
      </c>
      <c r="C405">
        <v>109.7</v>
      </c>
    </row>
    <row r="406" spans="1:3" x14ac:dyDescent="0.3">
      <c r="A406" s="1">
        <v>43608</v>
      </c>
      <c r="B406" s="4" t="s">
        <v>4</v>
      </c>
      <c r="C406">
        <v>387.1</v>
      </c>
    </row>
    <row r="407" spans="1:3" x14ac:dyDescent="0.3">
      <c r="A407" s="1">
        <v>43609</v>
      </c>
      <c r="B407" s="4" t="s">
        <v>0</v>
      </c>
      <c r="C407">
        <v>133.30000000000001</v>
      </c>
    </row>
    <row r="408" spans="1:3" x14ac:dyDescent="0.3">
      <c r="A408" s="1">
        <v>43609</v>
      </c>
      <c r="B408" s="4" t="s">
        <v>1</v>
      </c>
      <c r="C408">
        <v>143.30000000000001</v>
      </c>
    </row>
    <row r="409" spans="1:3" x14ac:dyDescent="0.3">
      <c r="A409" s="1">
        <v>43609</v>
      </c>
      <c r="B409" s="4" t="s">
        <v>2</v>
      </c>
      <c r="C409">
        <v>228.3</v>
      </c>
    </row>
    <row r="410" spans="1:3" x14ac:dyDescent="0.3">
      <c r="A410" s="1">
        <v>43609</v>
      </c>
      <c r="B410" s="4" t="s">
        <v>3</v>
      </c>
      <c r="C410">
        <v>103.2</v>
      </c>
    </row>
    <row r="411" spans="1:3" x14ac:dyDescent="0.3">
      <c r="A411" s="1">
        <v>43609</v>
      </c>
      <c r="B411" s="4" t="s">
        <v>4</v>
      </c>
      <c r="C411">
        <v>364</v>
      </c>
    </row>
    <row r="412" spans="1:3" x14ac:dyDescent="0.3">
      <c r="A412" s="1">
        <v>43610</v>
      </c>
      <c r="B412" s="4" t="s">
        <v>0</v>
      </c>
      <c r="C412">
        <v>126.3</v>
      </c>
    </row>
    <row r="413" spans="1:3" x14ac:dyDescent="0.3">
      <c r="A413" s="1">
        <v>43610</v>
      </c>
      <c r="B413" s="4" t="s">
        <v>1</v>
      </c>
      <c r="C413">
        <v>132.9</v>
      </c>
    </row>
    <row r="414" spans="1:3" x14ac:dyDescent="0.3">
      <c r="A414" s="1">
        <v>43610</v>
      </c>
      <c r="B414" s="4" t="s">
        <v>2</v>
      </c>
      <c r="C414">
        <v>224.7</v>
      </c>
    </row>
    <row r="415" spans="1:3" x14ac:dyDescent="0.3">
      <c r="A415" s="1">
        <v>43610</v>
      </c>
      <c r="B415" s="4" t="s">
        <v>3</v>
      </c>
      <c r="C415">
        <v>98.7</v>
      </c>
    </row>
    <row r="416" spans="1:3" x14ac:dyDescent="0.3">
      <c r="A416" s="1">
        <v>43610</v>
      </c>
      <c r="B416" s="4" t="s">
        <v>4</v>
      </c>
      <c r="C416">
        <v>358.7</v>
      </c>
    </row>
    <row r="417" spans="1:3" x14ac:dyDescent="0.3">
      <c r="A417" s="1">
        <v>43611</v>
      </c>
      <c r="B417" s="4" t="s">
        <v>0</v>
      </c>
      <c r="C417">
        <v>86.3</v>
      </c>
    </row>
    <row r="418" spans="1:3" x14ac:dyDescent="0.3">
      <c r="A418" s="1">
        <v>43611</v>
      </c>
      <c r="B418" s="4" t="s">
        <v>1</v>
      </c>
      <c r="C418">
        <v>93</v>
      </c>
    </row>
    <row r="419" spans="1:3" x14ac:dyDescent="0.3">
      <c r="A419" s="1">
        <v>43611</v>
      </c>
      <c r="B419" s="4" t="s">
        <v>2</v>
      </c>
      <c r="C419">
        <v>178.7</v>
      </c>
    </row>
    <row r="420" spans="1:3" x14ac:dyDescent="0.3">
      <c r="A420" s="1">
        <v>43611</v>
      </c>
      <c r="B420" s="4" t="s">
        <v>3</v>
      </c>
      <c r="C420">
        <v>46.1</v>
      </c>
    </row>
    <row r="421" spans="1:3" x14ac:dyDescent="0.3">
      <c r="A421" s="1">
        <v>43611</v>
      </c>
      <c r="B421" s="4" t="s">
        <v>4</v>
      </c>
      <c r="C421">
        <v>240.8</v>
      </c>
    </row>
    <row r="422" spans="1:3" x14ac:dyDescent="0.3">
      <c r="A422" s="1">
        <v>43612</v>
      </c>
      <c r="B422" s="4" t="s">
        <v>0</v>
      </c>
      <c r="C422">
        <v>74.7</v>
      </c>
    </row>
    <row r="423" spans="1:3" x14ac:dyDescent="0.3">
      <c r="A423" s="1">
        <v>43612</v>
      </c>
      <c r="B423" s="4" t="s">
        <v>1</v>
      </c>
      <c r="C423">
        <v>92</v>
      </c>
    </row>
    <row r="424" spans="1:3" x14ac:dyDescent="0.3">
      <c r="A424" s="1">
        <v>43612</v>
      </c>
      <c r="B424" s="4" t="s">
        <v>2</v>
      </c>
      <c r="C424">
        <v>171.9</v>
      </c>
    </row>
    <row r="425" spans="1:3" x14ac:dyDescent="0.3">
      <c r="A425" s="1">
        <v>43612</v>
      </c>
      <c r="B425" s="4" t="s">
        <v>3</v>
      </c>
      <c r="C425">
        <v>48.7</v>
      </c>
    </row>
    <row r="426" spans="1:3" x14ac:dyDescent="0.3">
      <c r="A426" s="1">
        <v>43612</v>
      </c>
      <c r="B426" s="4" t="s">
        <v>4</v>
      </c>
      <c r="C426">
        <v>247.4</v>
      </c>
    </row>
    <row r="427" spans="1:3" x14ac:dyDescent="0.3">
      <c r="A427" s="1">
        <v>43613</v>
      </c>
      <c r="B427" s="4" t="s">
        <v>0</v>
      </c>
      <c r="C427">
        <v>69.599999999999994</v>
      </c>
    </row>
    <row r="428" spans="1:3" x14ac:dyDescent="0.3">
      <c r="A428" s="1">
        <v>43613</v>
      </c>
      <c r="B428" s="4" t="s">
        <v>1</v>
      </c>
      <c r="C428">
        <v>85.9</v>
      </c>
    </row>
    <row r="429" spans="1:3" x14ac:dyDescent="0.3">
      <c r="A429" s="1">
        <v>43613</v>
      </c>
      <c r="B429" s="4" t="s">
        <v>2</v>
      </c>
      <c r="C429">
        <v>171.4</v>
      </c>
    </row>
    <row r="430" spans="1:3" x14ac:dyDescent="0.3">
      <c r="A430" s="1">
        <v>43613</v>
      </c>
      <c r="B430" s="4" t="s">
        <v>3</v>
      </c>
      <c r="C430">
        <v>46</v>
      </c>
    </row>
    <row r="431" spans="1:3" x14ac:dyDescent="0.3">
      <c r="A431" s="1">
        <v>43613</v>
      </c>
      <c r="B431" s="4" t="s">
        <v>4</v>
      </c>
      <c r="C431">
        <v>241.6</v>
      </c>
    </row>
    <row r="432" spans="1:3" x14ac:dyDescent="0.3">
      <c r="A432" s="1">
        <v>43614</v>
      </c>
      <c r="B432" s="4" t="s">
        <v>0</v>
      </c>
      <c r="C432">
        <v>63.1</v>
      </c>
    </row>
    <row r="433" spans="1:3" x14ac:dyDescent="0.3">
      <c r="A433" s="1">
        <v>43614</v>
      </c>
      <c r="B433" s="4" t="s">
        <v>1</v>
      </c>
      <c r="C433">
        <v>76.7</v>
      </c>
    </row>
    <row r="434" spans="1:3" x14ac:dyDescent="0.3">
      <c r="A434" s="1">
        <v>43614</v>
      </c>
      <c r="B434" s="4" t="s">
        <v>2</v>
      </c>
      <c r="C434">
        <v>161.19999999999999</v>
      </c>
    </row>
    <row r="435" spans="1:3" x14ac:dyDescent="0.3">
      <c r="A435" s="1">
        <v>43614</v>
      </c>
      <c r="B435" s="4" t="s">
        <v>3</v>
      </c>
      <c r="C435">
        <v>46.1</v>
      </c>
    </row>
    <row r="436" spans="1:3" x14ac:dyDescent="0.3">
      <c r="A436" s="1">
        <v>43614</v>
      </c>
      <c r="B436" s="4" t="s">
        <v>4</v>
      </c>
      <c r="C436">
        <v>239.9</v>
      </c>
    </row>
    <row r="437" spans="1:3" x14ac:dyDescent="0.3">
      <c r="A437" s="1">
        <v>43615</v>
      </c>
      <c r="B437" s="4" t="s">
        <v>0</v>
      </c>
      <c r="C437">
        <v>66.900000000000006</v>
      </c>
    </row>
    <row r="438" spans="1:3" x14ac:dyDescent="0.3">
      <c r="A438" s="1">
        <v>43615</v>
      </c>
      <c r="B438" s="4" t="s">
        <v>1</v>
      </c>
      <c r="C438">
        <v>74.7</v>
      </c>
    </row>
    <row r="439" spans="1:3" x14ac:dyDescent="0.3">
      <c r="A439" s="1">
        <v>43615</v>
      </c>
      <c r="B439" s="4" t="s">
        <v>2</v>
      </c>
      <c r="C439">
        <v>127.9</v>
      </c>
    </row>
    <row r="440" spans="1:3" x14ac:dyDescent="0.3">
      <c r="A440" s="1">
        <v>43615</v>
      </c>
      <c r="B440" s="4" t="s">
        <v>3</v>
      </c>
      <c r="C440">
        <v>44.1</v>
      </c>
    </row>
    <row r="441" spans="1:3" x14ac:dyDescent="0.3">
      <c r="A441" s="1">
        <v>43615</v>
      </c>
      <c r="B441" s="4" t="s">
        <v>4</v>
      </c>
      <c r="C441">
        <v>238.9</v>
      </c>
    </row>
    <row r="442" spans="1:3" x14ac:dyDescent="0.3">
      <c r="A442" s="1">
        <v>43616</v>
      </c>
      <c r="B442" s="4" t="s">
        <v>0</v>
      </c>
      <c r="C442">
        <v>57.6</v>
      </c>
    </row>
    <row r="443" spans="1:3" x14ac:dyDescent="0.3">
      <c r="A443" s="1">
        <v>43616</v>
      </c>
      <c r="B443" s="4" t="s">
        <v>1</v>
      </c>
      <c r="C443">
        <v>65.900000000000006</v>
      </c>
    </row>
    <row r="444" spans="1:3" x14ac:dyDescent="0.3">
      <c r="A444" s="1">
        <v>43616</v>
      </c>
      <c r="B444" s="4" t="s">
        <v>2</v>
      </c>
      <c r="C444">
        <v>105.8</v>
      </c>
    </row>
    <row r="445" spans="1:3" x14ac:dyDescent="0.3">
      <c r="A445" s="1">
        <v>43616</v>
      </c>
      <c r="B445" s="4" t="s">
        <v>3</v>
      </c>
      <c r="C445">
        <v>44.4</v>
      </c>
    </row>
    <row r="446" spans="1:3" x14ac:dyDescent="0.3">
      <c r="A446" s="1">
        <v>43616</v>
      </c>
      <c r="B446" s="4" t="s">
        <v>4</v>
      </c>
      <c r="C446">
        <v>217.3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DE2C-DAA4-4FBB-82E1-FE6730DC7AC3}">
  <dimension ref="A1:E17"/>
  <sheetViews>
    <sheetView workbookViewId="0">
      <selection activeCell="A19" sqref="A19"/>
    </sheetView>
  </sheetViews>
  <sheetFormatPr defaultRowHeight="14.4" x14ac:dyDescent="0.3"/>
  <cols>
    <col min="1" max="1" width="15.44140625" bestFit="1" customWidth="1"/>
    <col min="2" max="2" width="9" bestFit="1" customWidth="1"/>
    <col min="3" max="3" width="9.88671875" customWidth="1"/>
    <col min="4" max="4" width="24" customWidth="1"/>
    <col min="5" max="5" width="24.109375" customWidth="1"/>
  </cols>
  <sheetData>
    <row r="1" spans="1:5" x14ac:dyDescent="0.3">
      <c r="A1" t="s">
        <v>116</v>
      </c>
      <c r="B1" t="s">
        <v>117</v>
      </c>
      <c r="C1" t="s">
        <v>118</v>
      </c>
      <c r="D1" t="s">
        <v>119</v>
      </c>
      <c r="E1" t="s">
        <v>120</v>
      </c>
    </row>
    <row r="2" spans="1:5" x14ac:dyDescent="0.3">
      <c r="A2" s="1">
        <v>43526</v>
      </c>
      <c r="B2">
        <v>102.9</v>
      </c>
    </row>
    <row r="3" spans="1:5" x14ac:dyDescent="0.3">
      <c r="A3" s="1">
        <v>43527</v>
      </c>
      <c r="B3">
        <v>104.2</v>
      </c>
    </row>
    <row r="4" spans="1:5" x14ac:dyDescent="0.3">
      <c r="A4" s="1">
        <v>43528</v>
      </c>
      <c r="B4">
        <v>106.9</v>
      </c>
    </row>
    <row r="5" spans="1:5" x14ac:dyDescent="0.3">
      <c r="A5" s="1">
        <v>43529</v>
      </c>
      <c r="B5">
        <v>111.2</v>
      </c>
    </row>
    <row r="6" spans="1:5" x14ac:dyDescent="0.3">
      <c r="A6" s="1">
        <v>43530</v>
      </c>
      <c r="B6">
        <v>111.6</v>
      </c>
    </row>
    <row r="7" spans="1:5" x14ac:dyDescent="0.3">
      <c r="A7" s="1">
        <v>43531</v>
      </c>
      <c r="B7">
        <v>106.1</v>
      </c>
    </row>
    <row r="8" spans="1:5" x14ac:dyDescent="0.3">
      <c r="A8" s="1">
        <v>43532</v>
      </c>
      <c r="B8">
        <v>245.8</v>
      </c>
    </row>
    <row r="9" spans="1:5" x14ac:dyDescent="0.3">
      <c r="A9" s="1">
        <v>43533</v>
      </c>
      <c r="B9">
        <v>256.7</v>
      </c>
    </row>
    <row r="10" spans="1:5" x14ac:dyDescent="0.3">
      <c r="A10" s="1">
        <v>43534</v>
      </c>
      <c r="B10">
        <v>265.3</v>
      </c>
    </row>
    <row r="11" spans="1:5" x14ac:dyDescent="0.3">
      <c r="A11" s="1">
        <v>43535</v>
      </c>
      <c r="B11">
        <v>266.5</v>
      </c>
      <c r="C11">
        <v>266.5</v>
      </c>
      <c r="D11" s="6">
        <v>266.5</v>
      </c>
      <c r="E11" s="6">
        <v>266.5</v>
      </c>
    </row>
    <row r="12" spans="1:5" x14ac:dyDescent="0.3">
      <c r="A12" s="1">
        <v>43536</v>
      </c>
      <c r="C12">
        <f>_xlfn.FORECAST.ETS(A12,$B$2:$B$11,$A$2:$A$11,1,1)</f>
        <v>295.18041698142264</v>
      </c>
      <c r="D12" s="6">
        <f>C12-_xlfn.FORECAST.ETS.CONFINT(A12,$B$2:$B$11,$A$2:$A$11,0.95,1,1)</f>
        <v>215.78393398455066</v>
      </c>
      <c r="E12" s="6">
        <f>C12+_xlfn.FORECAST.ETS.CONFINT(A12,$B$2:$B$11,$A$2:$A$11,0.95,1,1)</f>
        <v>374.57689997829459</v>
      </c>
    </row>
    <row r="13" spans="1:5" x14ac:dyDescent="0.3">
      <c r="A13" s="1">
        <v>43537</v>
      </c>
      <c r="C13">
        <f>_xlfn.FORECAST.ETS(A13,$B$2:$B$11,$A$2:$A$11,1,1)</f>
        <v>317.84612630865712</v>
      </c>
      <c r="D13" s="6">
        <f>C13-_xlfn.FORECAST.ETS.CONFINT(A13,$B$2:$B$11,$A$2:$A$11,0.95,1,1)</f>
        <v>218.552864357023</v>
      </c>
      <c r="E13" s="6">
        <f>C13+_xlfn.FORECAST.ETS.CONFINT(A13,$B$2:$B$11,$A$2:$A$11,0.95,1,1)</f>
        <v>417.13938826029124</v>
      </c>
    </row>
    <row r="14" spans="1:5" x14ac:dyDescent="0.3">
      <c r="A14" s="1">
        <v>43538</v>
      </c>
      <c r="C14">
        <f>_xlfn.FORECAST.ETS(A14,$B$2:$B$11,$A$2:$A$11,1,1)</f>
        <v>340.51183563589154</v>
      </c>
      <c r="D14" s="6">
        <f>C14-_xlfn.FORECAST.ETS.CONFINT(A14,$B$2:$B$11,$A$2:$A$11,0.95,1,1)</f>
        <v>224.64994872137581</v>
      </c>
      <c r="E14" s="6">
        <f>C14+_xlfn.FORECAST.ETS.CONFINT(A14,$B$2:$B$11,$A$2:$A$11,0.95,1,1)</f>
        <v>456.37372255040725</v>
      </c>
    </row>
    <row r="15" spans="1:5" x14ac:dyDescent="0.3">
      <c r="A15" s="1">
        <v>43539</v>
      </c>
      <c r="C15">
        <f>_xlfn.FORECAST.ETS(A15,$B$2:$B$11,$A$2:$A$11,1,1)</f>
        <v>363.17754496312602</v>
      </c>
      <c r="D15" s="6">
        <f>C15-_xlfn.FORECAST.ETS.CONFINT(A15,$B$2:$B$11,$A$2:$A$11,0.95,1,1)</f>
        <v>232.80005829052524</v>
      </c>
      <c r="E15" s="6">
        <f>C15+_xlfn.FORECAST.ETS.CONFINT(A15,$B$2:$B$11,$A$2:$A$11,0.95,1,1)</f>
        <v>493.55503163572678</v>
      </c>
    </row>
    <row r="16" spans="1:5" x14ac:dyDescent="0.3">
      <c r="A16" s="1">
        <v>43540</v>
      </c>
      <c r="C16">
        <f>_xlfn.FORECAST.ETS(A16,$B$2:$B$11,$A$2:$A$11,1,1)</f>
        <v>385.84325429036045</v>
      </c>
      <c r="D16" s="6">
        <f>C16-_xlfn.FORECAST.ETS.CONFINT(A16,$B$2:$B$11,$A$2:$A$11,0.95,1,1)</f>
        <v>242.37862083801664</v>
      </c>
      <c r="E16" s="6">
        <f>C16+_xlfn.FORECAST.ETS.CONFINT(A16,$B$2:$B$11,$A$2:$A$11,0.95,1,1)</f>
        <v>529.30788774270422</v>
      </c>
    </row>
    <row r="17" spans="1:5" x14ac:dyDescent="0.3">
      <c r="A17" s="1">
        <v>43541</v>
      </c>
      <c r="C17">
        <f>_xlfn.FORECAST.ETS(A17,$B$2:$B$11,$A$2:$A$11,1,1)</f>
        <v>408.50896361759487</v>
      </c>
      <c r="D17" s="6">
        <f>C17-_xlfn.FORECAST.ETS.CONFINT(A17,$B$2:$B$11,$A$2:$A$11,0.95,1,1)</f>
        <v>253.02447722538744</v>
      </c>
      <c r="E17" s="6">
        <f>C17+_xlfn.FORECAST.ETS.CONFINT(A17,$B$2:$B$11,$A$2:$A$11,0.95,1,1)</f>
        <v>563.99345000980225</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BAF8D-47DB-4C58-BADC-8529F9CDD269}">
  <dimension ref="A1:E16"/>
  <sheetViews>
    <sheetView workbookViewId="0"/>
  </sheetViews>
  <sheetFormatPr defaultRowHeight="14.4" x14ac:dyDescent="0.3"/>
  <cols>
    <col min="1" max="1" width="15.44140625" bestFit="1" customWidth="1"/>
    <col min="2" max="2" width="9" bestFit="1" customWidth="1"/>
    <col min="3" max="3" width="9.88671875" customWidth="1"/>
    <col min="4" max="4" width="24" customWidth="1"/>
    <col min="5" max="5" width="24.109375" customWidth="1"/>
  </cols>
  <sheetData>
    <row r="1" spans="1:5" x14ac:dyDescent="0.3">
      <c r="A1" t="s">
        <v>116</v>
      </c>
      <c r="B1" t="s">
        <v>117</v>
      </c>
      <c r="C1" t="s">
        <v>118</v>
      </c>
      <c r="D1" t="s">
        <v>119</v>
      </c>
      <c r="E1" t="s">
        <v>120</v>
      </c>
    </row>
    <row r="2" spans="1:5" x14ac:dyDescent="0.3">
      <c r="A2" s="1">
        <v>43526</v>
      </c>
      <c r="B2">
        <v>116.3</v>
      </c>
    </row>
    <row r="3" spans="1:5" x14ac:dyDescent="0.3">
      <c r="A3" s="1">
        <v>43527</v>
      </c>
      <c r="B3">
        <v>123.1</v>
      </c>
    </row>
    <row r="4" spans="1:5" x14ac:dyDescent="0.3">
      <c r="A4" s="1">
        <v>43528</v>
      </c>
      <c r="B4">
        <v>124</v>
      </c>
    </row>
    <row r="5" spans="1:5" x14ac:dyDescent="0.3">
      <c r="A5" s="1">
        <v>43529</v>
      </c>
      <c r="B5">
        <v>125.6</v>
      </c>
    </row>
    <row r="6" spans="1:5" x14ac:dyDescent="0.3">
      <c r="A6" s="1">
        <v>43530</v>
      </c>
      <c r="B6">
        <v>124.7</v>
      </c>
    </row>
    <row r="7" spans="1:5" x14ac:dyDescent="0.3">
      <c r="A7" s="1">
        <v>43531</v>
      </c>
      <c r="B7">
        <v>116.3</v>
      </c>
    </row>
    <row r="8" spans="1:5" x14ac:dyDescent="0.3">
      <c r="A8" s="1">
        <v>43532</v>
      </c>
      <c r="B8">
        <v>186</v>
      </c>
    </row>
    <row r="9" spans="1:5" x14ac:dyDescent="0.3">
      <c r="A9" s="1">
        <v>43533</v>
      </c>
      <c r="B9">
        <v>204.4</v>
      </c>
    </row>
    <row r="10" spans="1:5" x14ac:dyDescent="0.3">
      <c r="A10" s="1">
        <v>43534</v>
      </c>
      <c r="B10">
        <v>217</v>
      </c>
      <c r="C10">
        <v>217</v>
      </c>
      <c r="D10" s="6">
        <v>217</v>
      </c>
      <c r="E10" s="6">
        <v>217</v>
      </c>
    </row>
    <row r="11" spans="1:5" x14ac:dyDescent="0.3">
      <c r="A11" s="1">
        <v>43535</v>
      </c>
      <c r="C11">
        <f>_xlfn.FORECAST.ETS(A11,$B$2:$B$10,$A$2:$A$10,1,1)</f>
        <v>229.5859357581536</v>
      </c>
      <c r="D11" s="6">
        <f>C11-_xlfn.FORECAST.ETS.CONFINT(A11,$B$2:$B$10,$A$2:$A$10,0.95,1,1)</f>
        <v>187.25677612995028</v>
      </c>
      <c r="E11" s="6">
        <f>C11+_xlfn.FORECAST.ETS.CONFINT(A11,$B$2:$B$10,$A$2:$A$10,0.95,1,1)</f>
        <v>271.91509538635688</v>
      </c>
    </row>
    <row r="12" spans="1:5" x14ac:dyDescent="0.3">
      <c r="A12" s="1">
        <v>43536</v>
      </c>
      <c r="C12">
        <f>_xlfn.FORECAST.ETS(A12,$B$2:$B$10,$A$2:$A$10,1,1)</f>
        <v>242.27511314477925</v>
      </c>
      <c r="D12" s="6">
        <f>C12-_xlfn.FORECAST.ETS.CONFINT(A12,$B$2:$B$10,$A$2:$A$10,0.95,1,1)</f>
        <v>185.29872775610619</v>
      </c>
      <c r="E12" s="6">
        <f>C12+_xlfn.FORECAST.ETS.CONFINT(A12,$B$2:$B$10,$A$2:$A$10,0.95,1,1)</f>
        <v>299.25149853345232</v>
      </c>
    </row>
    <row r="13" spans="1:5" x14ac:dyDescent="0.3">
      <c r="A13" s="1">
        <v>43537</v>
      </c>
      <c r="C13">
        <f>_xlfn.FORECAST.ETS(A13,$B$2:$B$10,$A$2:$A$10,1,1)</f>
        <v>254.96429053140488</v>
      </c>
      <c r="D13" s="6">
        <f>C13-_xlfn.FORECAST.ETS.CONFINT(A13,$B$2:$B$10,$A$2:$A$10,0.95,1,1)</f>
        <v>186.37792331226112</v>
      </c>
      <c r="E13" s="6">
        <f>C13+_xlfn.FORECAST.ETS.CONFINT(A13,$B$2:$B$10,$A$2:$A$10,0.95,1,1)</f>
        <v>323.55065775054868</v>
      </c>
    </row>
    <row r="14" spans="1:5" x14ac:dyDescent="0.3">
      <c r="A14" s="1">
        <v>43538</v>
      </c>
      <c r="C14">
        <f>_xlfn.FORECAST.ETS(A14,$B$2:$B$10,$A$2:$A$10,1,1)</f>
        <v>267.65346791803051</v>
      </c>
      <c r="D14" s="6">
        <f>C14-_xlfn.FORECAST.ETS.CONFINT(A14,$B$2:$B$10,$A$2:$A$10,0.95,1,1)</f>
        <v>189.13528424426391</v>
      </c>
      <c r="E14" s="6">
        <f>C14+_xlfn.FORECAST.ETS.CONFINT(A14,$B$2:$B$10,$A$2:$A$10,0.95,1,1)</f>
        <v>346.17165159179712</v>
      </c>
    </row>
    <row r="15" spans="1:5" x14ac:dyDescent="0.3">
      <c r="A15" s="1">
        <v>43539</v>
      </c>
      <c r="C15">
        <f>_xlfn.FORECAST.ETS(A15,$B$2:$B$10,$A$2:$A$10,1,1)</f>
        <v>280.34264530465617</v>
      </c>
      <c r="D15" s="6">
        <f>C15-_xlfn.FORECAST.ETS.CONFINT(A15,$B$2:$B$10,$A$2:$A$10,0.95,1,1)</f>
        <v>192.99644748930515</v>
      </c>
      <c r="E15" s="6">
        <f>C15+_xlfn.FORECAST.ETS.CONFINT(A15,$B$2:$B$10,$A$2:$A$10,0.95,1,1)</f>
        <v>367.68884312000716</v>
      </c>
    </row>
    <row r="16" spans="1:5" x14ac:dyDescent="0.3">
      <c r="A16" s="1">
        <v>43540</v>
      </c>
      <c r="C16">
        <f>_xlfn.FORECAST.ETS(A16,$B$2:$B$10,$A$2:$A$10,1,1)</f>
        <v>293.03182269128183</v>
      </c>
      <c r="D16" s="6">
        <f>C16-_xlfn.FORECAST.ETS.CONFINT(A16,$B$2:$B$10,$A$2:$A$10,0.95,1,1)</f>
        <v>197.65440047853798</v>
      </c>
      <c r="E16" s="6">
        <f>C16+_xlfn.FORECAST.ETS.CONFINT(A16,$B$2:$B$10,$A$2:$A$10,0.95,1,1)</f>
        <v>388.40924490402568</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0A846-54E6-4794-B05E-289CCB11B506}">
  <dimension ref="A1:F154"/>
  <sheetViews>
    <sheetView topLeftCell="A6" workbookViewId="0">
      <selection activeCell="J22" sqref="J22"/>
    </sheetView>
  </sheetViews>
  <sheetFormatPr defaultRowHeight="14.4" x14ac:dyDescent="0.3"/>
  <cols>
    <col min="1" max="1" width="15.44140625" bestFit="1" customWidth="1"/>
    <col min="3" max="3" width="9.88671875" customWidth="1"/>
    <col min="4" max="4" width="11.21875" customWidth="1"/>
  </cols>
  <sheetData>
    <row r="1" spans="1:6" x14ac:dyDescent="0.3">
      <c r="A1" t="s">
        <v>5</v>
      </c>
      <c r="B1" t="s">
        <v>0</v>
      </c>
      <c r="C1" t="s">
        <v>1</v>
      </c>
      <c r="D1" t="s">
        <v>2</v>
      </c>
      <c r="E1" t="s">
        <v>3</v>
      </c>
      <c r="F1" t="s">
        <v>4</v>
      </c>
    </row>
    <row r="2" spans="1:6" x14ac:dyDescent="0.3">
      <c r="A2" s="1">
        <v>43526</v>
      </c>
      <c r="B2">
        <v>102.9</v>
      </c>
      <c r="C2">
        <v>116.3</v>
      </c>
      <c r="D2">
        <v>240.6</v>
      </c>
      <c r="E2">
        <v>72.099999999999994</v>
      </c>
      <c r="F2">
        <v>270.39999999999998</v>
      </c>
    </row>
    <row r="3" spans="1:6" x14ac:dyDescent="0.3">
      <c r="A3" s="1">
        <v>43527</v>
      </c>
      <c r="B3">
        <v>104.2</v>
      </c>
      <c r="C3">
        <v>123.1</v>
      </c>
      <c r="D3">
        <v>240.9</v>
      </c>
      <c r="E3">
        <v>71.8</v>
      </c>
      <c r="F3">
        <v>271.8</v>
      </c>
    </row>
    <row r="4" spans="1:6" x14ac:dyDescent="0.3">
      <c r="A4" s="1">
        <v>43528</v>
      </c>
      <c r="B4">
        <v>106.9</v>
      </c>
      <c r="C4">
        <v>124</v>
      </c>
      <c r="D4">
        <v>240.9</v>
      </c>
      <c r="E4">
        <v>71.099999999999994</v>
      </c>
      <c r="F4">
        <v>271.2</v>
      </c>
    </row>
    <row r="5" spans="1:6" x14ac:dyDescent="0.3">
      <c r="A5" s="1">
        <v>43529</v>
      </c>
      <c r="B5">
        <v>111.2</v>
      </c>
      <c r="C5">
        <v>125.6</v>
      </c>
      <c r="D5">
        <v>243.6</v>
      </c>
      <c r="E5">
        <v>73</v>
      </c>
      <c r="F5">
        <v>282.10000000000002</v>
      </c>
    </row>
    <row r="6" spans="1:6" x14ac:dyDescent="0.3">
      <c r="A6" s="1">
        <v>43530</v>
      </c>
      <c r="B6">
        <v>111.6</v>
      </c>
      <c r="C6">
        <v>124.7</v>
      </c>
      <c r="D6">
        <v>243.7</v>
      </c>
      <c r="E6">
        <v>68</v>
      </c>
      <c r="F6">
        <v>276.89999999999998</v>
      </c>
    </row>
    <row r="7" spans="1:6" x14ac:dyDescent="0.3">
      <c r="A7" s="1">
        <v>43531</v>
      </c>
      <c r="B7">
        <v>106.1</v>
      </c>
      <c r="C7">
        <v>116.3</v>
      </c>
      <c r="D7">
        <v>242.5</v>
      </c>
      <c r="E7">
        <v>67.3</v>
      </c>
      <c r="F7">
        <v>276.8</v>
      </c>
    </row>
    <row r="8" spans="1:6" x14ac:dyDescent="0.3">
      <c r="A8" s="1">
        <v>43532</v>
      </c>
      <c r="B8">
        <v>245.8</v>
      </c>
      <c r="C8">
        <v>186</v>
      </c>
      <c r="D8">
        <v>229.7</v>
      </c>
      <c r="E8">
        <v>111.7</v>
      </c>
      <c r="F8">
        <v>362.8</v>
      </c>
    </row>
    <row r="9" spans="1:6" x14ac:dyDescent="0.3">
      <c r="A9" s="1">
        <v>43533</v>
      </c>
      <c r="B9">
        <v>256.7</v>
      </c>
      <c r="C9">
        <v>204.4</v>
      </c>
      <c r="D9">
        <v>232.4</v>
      </c>
      <c r="E9">
        <v>121.6</v>
      </c>
      <c r="F9">
        <v>405.5</v>
      </c>
    </row>
    <row r="10" spans="1:6" x14ac:dyDescent="0.3">
      <c r="A10" s="1">
        <v>43534</v>
      </c>
      <c r="B10">
        <v>265.3</v>
      </c>
      <c r="C10">
        <v>217</v>
      </c>
      <c r="D10">
        <v>221</v>
      </c>
      <c r="E10">
        <v>128</v>
      </c>
      <c r="F10">
        <v>429.1</v>
      </c>
    </row>
    <row r="11" spans="1:6" x14ac:dyDescent="0.3">
      <c r="A11" s="1">
        <v>43535</v>
      </c>
      <c r="B11">
        <v>266.5</v>
      </c>
      <c r="C11">
        <v>214.8</v>
      </c>
      <c r="D11">
        <v>217.3</v>
      </c>
      <c r="E11">
        <v>132.69999999999999</v>
      </c>
      <c r="F11">
        <v>430.6</v>
      </c>
    </row>
    <row r="12" spans="1:6" x14ac:dyDescent="0.3">
      <c r="A12" s="1">
        <v>43536</v>
      </c>
      <c r="B12">
        <v>257.89999999999998</v>
      </c>
      <c r="C12">
        <v>214</v>
      </c>
      <c r="D12">
        <v>212.7</v>
      </c>
      <c r="E12">
        <v>132.6</v>
      </c>
      <c r="F12">
        <v>431.3</v>
      </c>
    </row>
    <row r="13" spans="1:6" x14ac:dyDescent="0.3">
      <c r="A13" s="1">
        <v>43537</v>
      </c>
      <c r="B13">
        <v>260.3</v>
      </c>
      <c r="C13">
        <v>218.3</v>
      </c>
      <c r="D13">
        <v>214.6</v>
      </c>
      <c r="E13">
        <v>129.69999999999999</v>
      </c>
      <c r="F13">
        <v>439.7</v>
      </c>
    </row>
    <row r="14" spans="1:6" x14ac:dyDescent="0.3">
      <c r="A14" s="1">
        <v>43538</v>
      </c>
      <c r="B14">
        <v>233.4</v>
      </c>
      <c r="C14">
        <v>194.6</v>
      </c>
      <c r="D14">
        <v>203.9</v>
      </c>
      <c r="E14">
        <v>113.9</v>
      </c>
      <c r="F14">
        <v>409.2</v>
      </c>
    </row>
    <row r="15" spans="1:6" x14ac:dyDescent="0.3">
      <c r="A15" s="1">
        <v>43539</v>
      </c>
      <c r="B15">
        <v>87.5</v>
      </c>
      <c r="C15">
        <v>87.9</v>
      </c>
      <c r="D15">
        <v>164</v>
      </c>
      <c r="E15">
        <v>57.8</v>
      </c>
      <c r="F15">
        <v>235.1</v>
      </c>
    </row>
    <row r="16" spans="1:6" x14ac:dyDescent="0.3">
      <c r="A16" s="1">
        <v>43540</v>
      </c>
      <c r="B16">
        <v>81.5</v>
      </c>
      <c r="C16">
        <v>86.6</v>
      </c>
      <c r="D16">
        <v>165.4</v>
      </c>
      <c r="E16">
        <v>51.2</v>
      </c>
      <c r="F16">
        <v>222.1</v>
      </c>
    </row>
    <row r="17" spans="1:6" x14ac:dyDescent="0.3">
      <c r="A17" s="1">
        <v>43541</v>
      </c>
      <c r="B17">
        <v>89.6</v>
      </c>
      <c r="C17">
        <v>93.4</v>
      </c>
      <c r="D17">
        <v>180.1</v>
      </c>
      <c r="E17">
        <v>58.4</v>
      </c>
      <c r="F17">
        <v>249</v>
      </c>
    </row>
    <row r="18" spans="1:6" x14ac:dyDescent="0.3">
      <c r="A18" s="1">
        <v>43542</v>
      </c>
      <c r="B18">
        <v>96.5</v>
      </c>
      <c r="C18">
        <v>102.4</v>
      </c>
      <c r="D18">
        <v>188.8</v>
      </c>
      <c r="E18">
        <v>63</v>
      </c>
      <c r="F18">
        <v>276.39999999999998</v>
      </c>
    </row>
    <row r="19" spans="1:6" x14ac:dyDescent="0.3">
      <c r="A19" s="1">
        <v>43543</v>
      </c>
      <c r="B19">
        <v>103.4</v>
      </c>
      <c r="C19">
        <v>108.4</v>
      </c>
      <c r="D19">
        <v>190.9</v>
      </c>
      <c r="E19">
        <v>66.099999999999994</v>
      </c>
      <c r="F19">
        <v>287.7</v>
      </c>
    </row>
    <row r="20" spans="1:6" x14ac:dyDescent="0.3">
      <c r="A20" s="1">
        <v>43544</v>
      </c>
      <c r="B20">
        <v>109</v>
      </c>
      <c r="C20">
        <v>114.4</v>
      </c>
      <c r="D20">
        <v>198.4</v>
      </c>
      <c r="E20">
        <v>69.599999999999994</v>
      </c>
      <c r="F20">
        <v>268.60000000000002</v>
      </c>
    </row>
    <row r="21" spans="1:6" x14ac:dyDescent="0.3">
      <c r="A21" s="1">
        <v>43545</v>
      </c>
      <c r="B21">
        <v>109</v>
      </c>
      <c r="C21">
        <v>112.5</v>
      </c>
      <c r="D21">
        <v>206.6</v>
      </c>
      <c r="E21">
        <v>68.3</v>
      </c>
      <c r="F21">
        <v>287.10000000000002</v>
      </c>
    </row>
    <row r="22" spans="1:6" x14ac:dyDescent="0.3">
      <c r="A22" s="1">
        <v>43546</v>
      </c>
      <c r="B22">
        <v>101.7</v>
      </c>
      <c r="C22">
        <v>114.5</v>
      </c>
      <c r="D22">
        <v>216.7</v>
      </c>
      <c r="E22">
        <v>62.5</v>
      </c>
      <c r="F22">
        <v>260.8</v>
      </c>
    </row>
    <row r="23" spans="1:6" x14ac:dyDescent="0.3">
      <c r="A23" s="1">
        <v>43547</v>
      </c>
      <c r="B23">
        <v>100.3</v>
      </c>
      <c r="C23">
        <v>114.2</v>
      </c>
      <c r="D23">
        <v>214.5</v>
      </c>
      <c r="E23">
        <v>63.5</v>
      </c>
      <c r="F23">
        <v>258.2</v>
      </c>
    </row>
    <row r="24" spans="1:6" x14ac:dyDescent="0.3">
      <c r="A24" s="1">
        <v>43548</v>
      </c>
      <c r="B24">
        <v>98</v>
      </c>
      <c r="C24">
        <v>108.2</v>
      </c>
      <c r="D24">
        <v>218.6</v>
      </c>
      <c r="E24">
        <v>62.6</v>
      </c>
      <c r="F24">
        <v>258.39999999999998</v>
      </c>
    </row>
    <row r="25" spans="1:6" x14ac:dyDescent="0.3">
      <c r="A25" s="1">
        <v>43549</v>
      </c>
      <c r="B25">
        <v>99.4</v>
      </c>
      <c r="C25">
        <v>100.3</v>
      </c>
      <c r="D25">
        <v>213</v>
      </c>
      <c r="E25">
        <v>62.4</v>
      </c>
      <c r="F25">
        <v>238.2</v>
      </c>
    </row>
    <row r="26" spans="1:6" x14ac:dyDescent="0.3">
      <c r="A26" s="1">
        <v>43550</v>
      </c>
      <c r="B26">
        <v>102.8</v>
      </c>
      <c r="C26">
        <v>109.9</v>
      </c>
      <c r="D26">
        <v>212.3</v>
      </c>
      <c r="E26">
        <v>63.5</v>
      </c>
      <c r="F26">
        <v>236.2</v>
      </c>
    </row>
    <row r="27" spans="1:6" x14ac:dyDescent="0.3">
      <c r="A27" s="1">
        <v>43551</v>
      </c>
      <c r="B27">
        <v>101.4</v>
      </c>
      <c r="C27">
        <v>108.5</v>
      </c>
      <c r="D27">
        <v>213.3</v>
      </c>
      <c r="E27">
        <v>60.4</v>
      </c>
      <c r="F27">
        <v>240.5</v>
      </c>
    </row>
    <row r="28" spans="1:6" x14ac:dyDescent="0.3">
      <c r="A28" s="1">
        <v>43552</v>
      </c>
      <c r="B28">
        <v>92.9</v>
      </c>
      <c r="C28">
        <v>97.7</v>
      </c>
      <c r="D28">
        <v>210.3</v>
      </c>
      <c r="E28">
        <v>57.2</v>
      </c>
      <c r="F28">
        <v>232.6</v>
      </c>
    </row>
    <row r="29" spans="1:6" x14ac:dyDescent="0.3">
      <c r="A29" s="1">
        <v>43553</v>
      </c>
      <c r="B29">
        <v>118.3</v>
      </c>
      <c r="C29">
        <v>117.7</v>
      </c>
      <c r="D29">
        <v>209.5</v>
      </c>
      <c r="E29">
        <v>61.7</v>
      </c>
      <c r="F29">
        <v>291.7</v>
      </c>
    </row>
    <row r="30" spans="1:6" x14ac:dyDescent="0.3">
      <c r="A30" s="1">
        <v>43554</v>
      </c>
      <c r="B30">
        <v>123.5</v>
      </c>
      <c r="C30">
        <v>123.4</v>
      </c>
      <c r="D30">
        <v>216.3</v>
      </c>
      <c r="E30">
        <v>64.3</v>
      </c>
      <c r="F30">
        <v>279.39999999999998</v>
      </c>
    </row>
    <row r="31" spans="1:6" x14ac:dyDescent="0.3">
      <c r="A31" s="1">
        <v>43555</v>
      </c>
      <c r="B31">
        <v>126.9</v>
      </c>
      <c r="C31">
        <v>124.6</v>
      </c>
      <c r="D31">
        <v>215.4</v>
      </c>
      <c r="E31">
        <v>65.900000000000006</v>
      </c>
      <c r="F31">
        <v>297.60000000000002</v>
      </c>
    </row>
    <row r="32" spans="1:6" x14ac:dyDescent="0.3">
      <c r="A32" s="1">
        <v>43557</v>
      </c>
      <c r="B32">
        <v>129.80000000000001</v>
      </c>
      <c r="C32">
        <v>126.3</v>
      </c>
      <c r="D32">
        <v>214.8</v>
      </c>
      <c r="E32">
        <v>67.400000000000006</v>
      </c>
      <c r="F32">
        <v>308.60000000000002</v>
      </c>
    </row>
    <row r="33" spans="1:6" x14ac:dyDescent="0.3">
      <c r="A33" s="1">
        <v>43558</v>
      </c>
      <c r="B33">
        <v>131.5</v>
      </c>
      <c r="C33">
        <v>129.4</v>
      </c>
      <c r="D33">
        <v>222.9</v>
      </c>
      <c r="E33">
        <v>71.8</v>
      </c>
      <c r="F33">
        <v>317.89999999999998</v>
      </c>
    </row>
    <row r="34" spans="1:6" x14ac:dyDescent="0.3">
      <c r="A34" s="1">
        <v>43559</v>
      </c>
      <c r="B34">
        <v>130.80000000000001</v>
      </c>
      <c r="C34">
        <v>127.6</v>
      </c>
      <c r="D34">
        <v>220.4</v>
      </c>
      <c r="E34">
        <v>73.900000000000006</v>
      </c>
      <c r="F34">
        <v>320</v>
      </c>
    </row>
    <row r="35" spans="1:6" x14ac:dyDescent="0.3">
      <c r="A35" s="1">
        <v>43560</v>
      </c>
      <c r="B35">
        <v>121.4</v>
      </c>
      <c r="C35">
        <v>113.9</v>
      </c>
      <c r="D35">
        <v>217.5</v>
      </c>
      <c r="E35">
        <v>69.099999999999994</v>
      </c>
      <c r="F35">
        <v>292.2</v>
      </c>
    </row>
    <row r="36" spans="1:6" x14ac:dyDescent="0.3">
      <c r="A36" s="1">
        <v>43561</v>
      </c>
      <c r="B36">
        <v>101.8</v>
      </c>
      <c r="C36">
        <v>117.4</v>
      </c>
      <c r="D36">
        <v>232.4</v>
      </c>
      <c r="E36">
        <v>61.4</v>
      </c>
      <c r="F36">
        <v>261.39999999999998</v>
      </c>
    </row>
    <row r="37" spans="1:6" x14ac:dyDescent="0.3">
      <c r="A37" s="1">
        <v>43562</v>
      </c>
      <c r="B37">
        <v>100.3</v>
      </c>
      <c r="C37">
        <v>117.4</v>
      </c>
      <c r="D37">
        <v>228.8</v>
      </c>
      <c r="E37">
        <v>64.099999999999994</v>
      </c>
      <c r="F37">
        <v>259.60000000000002</v>
      </c>
    </row>
    <row r="38" spans="1:6" x14ac:dyDescent="0.3">
      <c r="A38" s="1">
        <v>43563</v>
      </c>
      <c r="B38">
        <v>101.6</v>
      </c>
      <c r="C38">
        <v>117.2</v>
      </c>
      <c r="D38">
        <v>222.5</v>
      </c>
      <c r="E38">
        <v>66.099999999999994</v>
      </c>
      <c r="F38">
        <v>241.9</v>
      </c>
    </row>
    <row r="39" spans="1:6" x14ac:dyDescent="0.3">
      <c r="A39" s="1">
        <v>43564</v>
      </c>
      <c r="B39">
        <v>101.6</v>
      </c>
      <c r="C39">
        <v>117.2</v>
      </c>
      <c r="D39">
        <v>222.5</v>
      </c>
      <c r="E39">
        <v>66.099999999999994</v>
      </c>
      <c r="F39">
        <v>241.9</v>
      </c>
    </row>
    <row r="40" spans="1:6" x14ac:dyDescent="0.3">
      <c r="A40" s="1">
        <v>43565</v>
      </c>
      <c r="B40">
        <v>106.8</v>
      </c>
      <c r="C40">
        <v>123.7</v>
      </c>
      <c r="D40">
        <v>231.3</v>
      </c>
      <c r="E40">
        <v>65.400000000000006</v>
      </c>
      <c r="F40">
        <v>268</v>
      </c>
    </row>
    <row r="41" spans="1:6" x14ac:dyDescent="0.3">
      <c r="A41" s="1">
        <v>43566</v>
      </c>
      <c r="B41">
        <v>105.9</v>
      </c>
      <c r="C41">
        <v>111.9</v>
      </c>
      <c r="D41">
        <v>223.6</v>
      </c>
      <c r="E41">
        <v>63</v>
      </c>
      <c r="F41">
        <v>258</v>
      </c>
    </row>
    <row r="42" spans="1:6" x14ac:dyDescent="0.3">
      <c r="A42" s="1">
        <v>43567</v>
      </c>
      <c r="B42">
        <v>93.1</v>
      </c>
      <c r="C42">
        <v>95</v>
      </c>
      <c r="D42">
        <v>212</v>
      </c>
      <c r="E42">
        <v>60.2</v>
      </c>
      <c r="F42">
        <v>230</v>
      </c>
    </row>
    <row r="43" spans="1:6" x14ac:dyDescent="0.3">
      <c r="A43" s="1">
        <v>43568</v>
      </c>
      <c r="B43">
        <v>249.8</v>
      </c>
      <c r="C43">
        <v>197.7</v>
      </c>
      <c r="D43">
        <v>240.6</v>
      </c>
      <c r="E43">
        <v>123.2</v>
      </c>
      <c r="F43">
        <v>383</v>
      </c>
    </row>
    <row r="44" spans="1:6" x14ac:dyDescent="0.3">
      <c r="A44" s="1">
        <v>43569</v>
      </c>
      <c r="B44">
        <v>250.6</v>
      </c>
      <c r="C44">
        <v>209.8</v>
      </c>
      <c r="D44">
        <v>242.9</v>
      </c>
      <c r="E44">
        <v>126.1</v>
      </c>
      <c r="F44">
        <v>407.9</v>
      </c>
    </row>
    <row r="45" spans="1:6" x14ac:dyDescent="0.3">
      <c r="A45" s="1">
        <v>43570</v>
      </c>
      <c r="B45">
        <v>274.10000000000002</v>
      </c>
      <c r="C45">
        <v>219.4</v>
      </c>
      <c r="D45">
        <v>248.5</v>
      </c>
      <c r="E45">
        <v>135.1</v>
      </c>
      <c r="F45">
        <v>416.9</v>
      </c>
    </row>
    <row r="46" spans="1:6" x14ac:dyDescent="0.3">
      <c r="A46" s="1">
        <v>43571</v>
      </c>
      <c r="B46">
        <v>269.39999999999998</v>
      </c>
      <c r="C46">
        <v>219.1</v>
      </c>
      <c r="D46">
        <v>249.5</v>
      </c>
      <c r="E46">
        <v>135.19999999999999</v>
      </c>
      <c r="F46">
        <v>435.1</v>
      </c>
    </row>
    <row r="47" spans="1:6" x14ac:dyDescent="0.3">
      <c r="A47" s="1">
        <v>43572</v>
      </c>
      <c r="B47">
        <v>282.7</v>
      </c>
      <c r="C47">
        <v>219.7</v>
      </c>
      <c r="D47">
        <v>254.7</v>
      </c>
      <c r="E47">
        <v>133.5</v>
      </c>
      <c r="F47">
        <v>446.8</v>
      </c>
    </row>
    <row r="48" spans="1:6" x14ac:dyDescent="0.3">
      <c r="A48" s="1">
        <v>43573</v>
      </c>
      <c r="B48">
        <v>281.5</v>
      </c>
      <c r="C48">
        <v>224.5</v>
      </c>
      <c r="D48">
        <v>255.7</v>
      </c>
      <c r="E48">
        <v>136.69999999999999</v>
      </c>
      <c r="F48">
        <v>452.6</v>
      </c>
    </row>
    <row r="49" spans="1:6" x14ac:dyDescent="0.3">
      <c r="A49" s="1">
        <v>43574</v>
      </c>
      <c r="B49">
        <v>286</v>
      </c>
      <c r="C49">
        <v>211.8</v>
      </c>
      <c r="D49">
        <v>246.4</v>
      </c>
      <c r="E49">
        <v>136</v>
      </c>
      <c r="F49">
        <v>445.1</v>
      </c>
    </row>
    <row r="50" spans="1:6" x14ac:dyDescent="0.3">
      <c r="A50" s="1">
        <v>43575</v>
      </c>
      <c r="B50">
        <v>121.8</v>
      </c>
      <c r="C50">
        <v>120.5</v>
      </c>
      <c r="D50">
        <v>242.6</v>
      </c>
      <c r="E50">
        <v>63.9</v>
      </c>
      <c r="F50">
        <v>259.89999999999998</v>
      </c>
    </row>
    <row r="51" spans="1:6" x14ac:dyDescent="0.3">
      <c r="A51" s="1">
        <v>43576</v>
      </c>
      <c r="B51">
        <v>124.8</v>
      </c>
      <c r="C51">
        <v>124.7</v>
      </c>
      <c r="D51">
        <v>244.8</v>
      </c>
      <c r="E51">
        <v>63.6</v>
      </c>
      <c r="F51">
        <v>250</v>
      </c>
    </row>
    <row r="52" spans="1:6" x14ac:dyDescent="0.3">
      <c r="A52" s="1">
        <v>43577</v>
      </c>
      <c r="B52">
        <v>124.9</v>
      </c>
      <c r="C52">
        <v>124.8</v>
      </c>
      <c r="D52">
        <v>245.1</v>
      </c>
      <c r="E52">
        <v>63.8</v>
      </c>
      <c r="F52">
        <v>257.7</v>
      </c>
    </row>
    <row r="53" spans="1:6" x14ac:dyDescent="0.3">
      <c r="A53" s="1">
        <v>43578</v>
      </c>
      <c r="B53">
        <v>121.8</v>
      </c>
      <c r="C53">
        <v>123</v>
      </c>
      <c r="D53">
        <v>245.7</v>
      </c>
      <c r="E53">
        <v>62.5</v>
      </c>
      <c r="F53">
        <v>250.6</v>
      </c>
    </row>
    <row r="54" spans="1:6" x14ac:dyDescent="0.3">
      <c r="A54" s="1">
        <v>43579</v>
      </c>
      <c r="B54">
        <v>113</v>
      </c>
      <c r="C54">
        <v>123</v>
      </c>
      <c r="D54">
        <v>246.2</v>
      </c>
      <c r="E54">
        <v>63.8</v>
      </c>
      <c r="F54">
        <v>274.89999999999998</v>
      </c>
    </row>
    <row r="55" spans="1:6" x14ac:dyDescent="0.3">
      <c r="A55" s="1">
        <v>43580</v>
      </c>
      <c r="B55">
        <v>96.9</v>
      </c>
      <c r="C55">
        <v>108</v>
      </c>
      <c r="D55">
        <v>236</v>
      </c>
      <c r="E55">
        <v>60.3</v>
      </c>
      <c r="F55">
        <v>247.3</v>
      </c>
    </row>
    <row r="56" spans="1:6" x14ac:dyDescent="0.3">
      <c r="A56" s="1">
        <v>43581</v>
      </c>
      <c r="B56">
        <v>97.8</v>
      </c>
      <c r="C56">
        <v>94.5</v>
      </c>
      <c r="D56">
        <v>230.1</v>
      </c>
      <c r="E56">
        <v>57.9</v>
      </c>
      <c r="F56">
        <v>215.8</v>
      </c>
    </row>
    <row r="57" spans="1:6" x14ac:dyDescent="0.3">
      <c r="A57" s="1">
        <v>43582</v>
      </c>
      <c r="B57">
        <v>112.8</v>
      </c>
      <c r="C57">
        <v>125.5</v>
      </c>
      <c r="D57">
        <v>232.5</v>
      </c>
      <c r="E57">
        <v>74.2</v>
      </c>
      <c r="F57">
        <v>280.7</v>
      </c>
    </row>
    <row r="58" spans="1:6" x14ac:dyDescent="0.3">
      <c r="A58" s="1">
        <v>43583</v>
      </c>
      <c r="B58">
        <v>118.6</v>
      </c>
      <c r="C58">
        <v>131.1</v>
      </c>
      <c r="D58">
        <v>232.8</v>
      </c>
      <c r="E58">
        <v>76.900000000000006</v>
      </c>
      <c r="F58">
        <v>276.60000000000002</v>
      </c>
    </row>
    <row r="59" spans="1:6" x14ac:dyDescent="0.3">
      <c r="A59" s="1">
        <v>43584</v>
      </c>
      <c r="B59">
        <v>121.2</v>
      </c>
      <c r="C59">
        <v>132.1</v>
      </c>
      <c r="D59">
        <v>235.6</v>
      </c>
      <c r="E59">
        <v>76.900000000000006</v>
      </c>
      <c r="F59">
        <v>277.3</v>
      </c>
    </row>
    <row r="60" spans="1:6" x14ac:dyDescent="0.3">
      <c r="A60" s="1">
        <v>43585</v>
      </c>
      <c r="B60">
        <v>123.3</v>
      </c>
      <c r="C60">
        <v>134.5</v>
      </c>
      <c r="D60">
        <v>232.7</v>
      </c>
      <c r="E60">
        <v>79.2</v>
      </c>
      <c r="F60">
        <v>293.2</v>
      </c>
    </row>
    <row r="61" spans="1:6" x14ac:dyDescent="0.3">
      <c r="A61" s="1">
        <v>43587</v>
      </c>
      <c r="B61">
        <v>120.9</v>
      </c>
      <c r="C61">
        <v>133.6</v>
      </c>
      <c r="D61">
        <v>235</v>
      </c>
      <c r="E61">
        <v>82</v>
      </c>
      <c r="F61">
        <v>304.8</v>
      </c>
    </row>
    <row r="62" spans="1:6" x14ac:dyDescent="0.3">
      <c r="A62" s="1">
        <v>43588</v>
      </c>
      <c r="B62">
        <v>122.1</v>
      </c>
      <c r="C62">
        <v>133</v>
      </c>
      <c r="D62">
        <v>234.6</v>
      </c>
      <c r="E62">
        <v>80.400000000000006</v>
      </c>
      <c r="F62">
        <v>297</v>
      </c>
    </row>
    <row r="63" spans="1:6" x14ac:dyDescent="0.3">
      <c r="A63" s="1">
        <v>43589</v>
      </c>
      <c r="B63">
        <v>113.8</v>
      </c>
      <c r="C63">
        <v>124.6</v>
      </c>
      <c r="D63">
        <v>231</v>
      </c>
      <c r="E63">
        <v>78</v>
      </c>
      <c r="F63">
        <v>308</v>
      </c>
    </row>
    <row r="64" spans="1:6" x14ac:dyDescent="0.3">
      <c r="A64" s="1">
        <v>43590</v>
      </c>
      <c r="B64">
        <v>213.9</v>
      </c>
      <c r="C64">
        <v>179.6</v>
      </c>
      <c r="D64">
        <v>225.8</v>
      </c>
      <c r="E64">
        <v>98.5</v>
      </c>
      <c r="F64">
        <v>326.89999999999998</v>
      </c>
    </row>
    <row r="65" spans="1:6" x14ac:dyDescent="0.3">
      <c r="A65" s="1">
        <v>43591</v>
      </c>
      <c r="B65">
        <v>220.3</v>
      </c>
      <c r="C65">
        <v>186.1</v>
      </c>
      <c r="D65">
        <v>228.5</v>
      </c>
      <c r="E65">
        <v>99.3</v>
      </c>
      <c r="F65">
        <v>328.4</v>
      </c>
    </row>
    <row r="66" spans="1:6" x14ac:dyDescent="0.3">
      <c r="A66" s="1">
        <v>43592</v>
      </c>
      <c r="B66">
        <v>222.9</v>
      </c>
      <c r="C66">
        <v>185.6</v>
      </c>
      <c r="D66">
        <v>225</v>
      </c>
      <c r="E66">
        <v>102.4</v>
      </c>
      <c r="F66">
        <v>335.1</v>
      </c>
    </row>
    <row r="67" spans="1:6" x14ac:dyDescent="0.3">
      <c r="A67" s="1">
        <v>43593</v>
      </c>
      <c r="B67">
        <v>219.3</v>
      </c>
      <c r="C67">
        <v>184.2</v>
      </c>
      <c r="D67">
        <v>226.6</v>
      </c>
      <c r="E67">
        <v>102.6</v>
      </c>
      <c r="F67">
        <v>301.8</v>
      </c>
    </row>
    <row r="68" spans="1:6" x14ac:dyDescent="0.3">
      <c r="A68" s="1">
        <v>43594</v>
      </c>
      <c r="B68">
        <v>197.7</v>
      </c>
      <c r="C68">
        <v>179.5</v>
      </c>
      <c r="D68">
        <v>222</v>
      </c>
      <c r="E68">
        <v>100.9</v>
      </c>
      <c r="F68">
        <v>276.3</v>
      </c>
    </row>
    <row r="69" spans="1:6" x14ac:dyDescent="0.3">
      <c r="A69" s="1">
        <v>43595</v>
      </c>
      <c r="B69">
        <v>165.1</v>
      </c>
      <c r="C69">
        <v>169.3</v>
      </c>
      <c r="D69">
        <v>210.8</v>
      </c>
      <c r="E69">
        <v>94.6</v>
      </c>
      <c r="F69">
        <v>261.3</v>
      </c>
    </row>
    <row r="70" spans="1:6" x14ac:dyDescent="0.3">
      <c r="A70" s="1">
        <v>43596</v>
      </c>
      <c r="B70">
        <v>122.6</v>
      </c>
      <c r="C70">
        <v>143</v>
      </c>
      <c r="D70">
        <v>197.9</v>
      </c>
      <c r="E70">
        <v>84.7</v>
      </c>
      <c r="F70">
        <v>244.4</v>
      </c>
    </row>
    <row r="71" spans="1:6" x14ac:dyDescent="0.3">
      <c r="A71" s="1">
        <v>43597</v>
      </c>
      <c r="B71">
        <v>245.9</v>
      </c>
      <c r="C71">
        <v>194.3</v>
      </c>
      <c r="D71">
        <v>242.2</v>
      </c>
      <c r="E71">
        <v>116.6</v>
      </c>
      <c r="F71">
        <v>422.1</v>
      </c>
    </row>
    <row r="72" spans="1:6" x14ac:dyDescent="0.3">
      <c r="A72" s="1">
        <v>43598</v>
      </c>
      <c r="B72">
        <v>253.7</v>
      </c>
      <c r="C72">
        <v>211.3</v>
      </c>
      <c r="D72">
        <v>251.4</v>
      </c>
      <c r="E72">
        <v>129</v>
      </c>
      <c r="F72">
        <v>428.8</v>
      </c>
    </row>
    <row r="73" spans="1:6" x14ac:dyDescent="0.3">
      <c r="A73" s="1">
        <v>43599</v>
      </c>
      <c r="B73">
        <v>264.8</v>
      </c>
      <c r="C73">
        <v>208.1</v>
      </c>
      <c r="D73">
        <v>256.8</v>
      </c>
      <c r="E73">
        <v>130.4</v>
      </c>
      <c r="F73">
        <v>406.8</v>
      </c>
    </row>
    <row r="74" spans="1:6" x14ac:dyDescent="0.3">
      <c r="A74" s="1">
        <v>43600</v>
      </c>
      <c r="B74">
        <v>229.6</v>
      </c>
      <c r="C74">
        <v>183.2</v>
      </c>
      <c r="D74">
        <v>219.3</v>
      </c>
      <c r="E74">
        <v>115.2</v>
      </c>
      <c r="F74">
        <v>372.2</v>
      </c>
    </row>
    <row r="75" spans="1:6" x14ac:dyDescent="0.3">
      <c r="A75" s="1">
        <v>43601</v>
      </c>
      <c r="B75">
        <v>220.4</v>
      </c>
      <c r="C75">
        <v>177.2</v>
      </c>
      <c r="D75">
        <v>218.3</v>
      </c>
      <c r="E75">
        <v>109.3</v>
      </c>
      <c r="F75">
        <v>357.5</v>
      </c>
    </row>
    <row r="76" spans="1:6" x14ac:dyDescent="0.3">
      <c r="A76" s="1">
        <v>43602</v>
      </c>
      <c r="B76">
        <v>206.3</v>
      </c>
      <c r="C76">
        <v>157.80000000000001</v>
      </c>
      <c r="D76">
        <v>198.7</v>
      </c>
      <c r="E76">
        <v>100.7</v>
      </c>
      <c r="F76">
        <v>359.1</v>
      </c>
    </row>
    <row r="77" spans="1:6" x14ac:dyDescent="0.3">
      <c r="A77" s="1">
        <v>43603</v>
      </c>
      <c r="B77">
        <v>210.9</v>
      </c>
      <c r="C77">
        <v>153.9</v>
      </c>
      <c r="D77">
        <v>159.30000000000001</v>
      </c>
      <c r="E77">
        <v>98.9</v>
      </c>
      <c r="F77">
        <v>364.1</v>
      </c>
    </row>
    <row r="78" spans="1:6" x14ac:dyDescent="0.3">
      <c r="A78" s="1">
        <v>43604</v>
      </c>
      <c r="B78">
        <v>122.1</v>
      </c>
      <c r="C78">
        <v>128.19999999999999</v>
      </c>
      <c r="D78">
        <v>205.5</v>
      </c>
      <c r="E78">
        <v>91.9</v>
      </c>
      <c r="F78">
        <v>342.3</v>
      </c>
    </row>
    <row r="79" spans="1:6" x14ac:dyDescent="0.3">
      <c r="A79" s="1">
        <v>43605</v>
      </c>
      <c r="B79">
        <v>129</v>
      </c>
      <c r="C79">
        <v>138.6</v>
      </c>
      <c r="D79">
        <v>216.8</v>
      </c>
      <c r="E79">
        <v>99.3</v>
      </c>
      <c r="F79">
        <v>362</v>
      </c>
    </row>
    <row r="80" spans="1:6" x14ac:dyDescent="0.3">
      <c r="A80" s="1">
        <v>43606</v>
      </c>
      <c r="B80">
        <v>108.6</v>
      </c>
      <c r="C80">
        <v>141.69999999999999</v>
      </c>
      <c r="D80">
        <v>221.1</v>
      </c>
      <c r="E80">
        <v>106.7</v>
      </c>
      <c r="F80">
        <v>380.7</v>
      </c>
    </row>
    <row r="81" spans="1:6" x14ac:dyDescent="0.3">
      <c r="A81" s="1">
        <v>43607</v>
      </c>
      <c r="B81">
        <v>126.4</v>
      </c>
      <c r="C81">
        <v>144.5</v>
      </c>
      <c r="D81">
        <v>226.7</v>
      </c>
      <c r="E81">
        <v>111.4</v>
      </c>
      <c r="F81">
        <v>387.1</v>
      </c>
    </row>
    <row r="82" spans="1:6" x14ac:dyDescent="0.3">
      <c r="A82" s="1">
        <v>43608</v>
      </c>
      <c r="B82">
        <v>132.69999999999999</v>
      </c>
      <c r="C82">
        <v>146.69999999999999</v>
      </c>
      <c r="D82">
        <v>226.5</v>
      </c>
      <c r="E82">
        <v>109.7</v>
      </c>
      <c r="F82">
        <v>387.1</v>
      </c>
    </row>
    <row r="83" spans="1:6" x14ac:dyDescent="0.3">
      <c r="A83" s="1">
        <v>43609</v>
      </c>
      <c r="B83">
        <v>133.30000000000001</v>
      </c>
      <c r="C83">
        <v>143.30000000000001</v>
      </c>
      <c r="D83">
        <v>228.3</v>
      </c>
      <c r="E83">
        <v>103.2</v>
      </c>
      <c r="F83">
        <v>364</v>
      </c>
    </row>
    <row r="84" spans="1:6" x14ac:dyDescent="0.3">
      <c r="A84" s="1">
        <v>43610</v>
      </c>
      <c r="B84">
        <v>126.3</v>
      </c>
      <c r="C84">
        <v>132.9</v>
      </c>
      <c r="D84">
        <v>224.7</v>
      </c>
      <c r="E84">
        <v>98.7</v>
      </c>
      <c r="F84">
        <v>358.7</v>
      </c>
    </row>
    <row r="85" spans="1:6" x14ac:dyDescent="0.3">
      <c r="A85" s="1">
        <v>43611</v>
      </c>
      <c r="B85">
        <v>86.3</v>
      </c>
      <c r="C85">
        <v>93</v>
      </c>
      <c r="D85">
        <v>178.7</v>
      </c>
      <c r="E85">
        <v>46.1</v>
      </c>
      <c r="F85">
        <v>240.8</v>
      </c>
    </row>
    <row r="86" spans="1:6" x14ac:dyDescent="0.3">
      <c r="A86" s="1">
        <v>43612</v>
      </c>
      <c r="B86">
        <v>74.7</v>
      </c>
      <c r="C86">
        <v>92</v>
      </c>
      <c r="D86">
        <v>171.9</v>
      </c>
      <c r="E86">
        <v>48.7</v>
      </c>
      <c r="F86">
        <v>247.4</v>
      </c>
    </row>
    <row r="87" spans="1:6" x14ac:dyDescent="0.3">
      <c r="A87" s="1">
        <v>43613</v>
      </c>
      <c r="B87">
        <v>69.599999999999994</v>
      </c>
      <c r="C87">
        <v>85.9</v>
      </c>
      <c r="D87">
        <v>171.4</v>
      </c>
      <c r="E87">
        <v>46</v>
      </c>
      <c r="F87">
        <v>241.6</v>
      </c>
    </row>
    <row r="88" spans="1:6" x14ac:dyDescent="0.3">
      <c r="A88" s="1">
        <v>43614</v>
      </c>
      <c r="B88">
        <v>63.1</v>
      </c>
      <c r="C88">
        <v>76.7</v>
      </c>
      <c r="D88">
        <v>161.19999999999999</v>
      </c>
      <c r="E88">
        <v>46.1</v>
      </c>
      <c r="F88">
        <v>239.9</v>
      </c>
    </row>
    <row r="89" spans="1:6" x14ac:dyDescent="0.3">
      <c r="A89" s="1">
        <v>43615</v>
      </c>
      <c r="B89">
        <v>66.900000000000006</v>
      </c>
      <c r="C89">
        <v>74.7</v>
      </c>
      <c r="D89">
        <v>127.9</v>
      </c>
      <c r="E89">
        <v>44.1</v>
      </c>
      <c r="F89">
        <v>238.9</v>
      </c>
    </row>
    <row r="90" spans="1:6" x14ac:dyDescent="0.3">
      <c r="A90" s="1">
        <v>43616</v>
      </c>
      <c r="B90">
        <v>57.6</v>
      </c>
      <c r="C90">
        <v>65.900000000000006</v>
      </c>
      <c r="D90">
        <v>105.8</v>
      </c>
      <c r="E90">
        <v>44.4</v>
      </c>
      <c r="F90">
        <v>217.3</v>
      </c>
    </row>
    <row r="92" spans="1:6" x14ac:dyDescent="0.3">
      <c r="A92" s="1">
        <v>43891</v>
      </c>
      <c r="B92">
        <v>108.2</v>
      </c>
      <c r="C92">
        <v>125.7</v>
      </c>
      <c r="D92">
        <v>240.7</v>
      </c>
      <c r="E92">
        <v>73.8</v>
      </c>
      <c r="F92">
        <v>294</v>
      </c>
    </row>
    <row r="93" spans="1:6" x14ac:dyDescent="0.3">
      <c r="A93" s="1">
        <v>43892</v>
      </c>
      <c r="B93">
        <v>112</v>
      </c>
      <c r="C93">
        <v>124.7</v>
      </c>
      <c r="D93">
        <v>242.6</v>
      </c>
      <c r="E93">
        <v>74.5</v>
      </c>
      <c r="F93">
        <v>292.3</v>
      </c>
    </row>
    <row r="94" spans="1:6" x14ac:dyDescent="0.3">
      <c r="A94" s="1">
        <v>43893</v>
      </c>
      <c r="B94">
        <v>112.6</v>
      </c>
      <c r="C94">
        <v>120.2</v>
      </c>
      <c r="D94">
        <v>239</v>
      </c>
      <c r="E94">
        <v>74.7</v>
      </c>
      <c r="F94">
        <v>269.2</v>
      </c>
    </row>
    <row r="95" spans="1:6" x14ac:dyDescent="0.3">
      <c r="A95" s="1">
        <v>43894</v>
      </c>
      <c r="B95">
        <v>113.5</v>
      </c>
      <c r="C95">
        <v>126.5</v>
      </c>
      <c r="D95">
        <v>231.5</v>
      </c>
      <c r="E95">
        <v>77.5</v>
      </c>
      <c r="F95">
        <v>276.60000000000002</v>
      </c>
    </row>
    <row r="96" spans="1:6" x14ac:dyDescent="0.3">
      <c r="A96" s="1">
        <v>43895</v>
      </c>
      <c r="B96">
        <v>113</v>
      </c>
      <c r="C96">
        <v>129.69999999999999</v>
      </c>
      <c r="D96">
        <v>243.4</v>
      </c>
      <c r="E96">
        <v>79.7</v>
      </c>
      <c r="F96">
        <v>295.10000000000002</v>
      </c>
    </row>
    <row r="97" spans="1:6" x14ac:dyDescent="0.3">
      <c r="A97" s="1">
        <v>43903</v>
      </c>
      <c r="B97">
        <v>111.8</v>
      </c>
      <c r="C97">
        <v>128.5</v>
      </c>
      <c r="D97">
        <v>237.6</v>
      </c>
      <c r="E97">
        <v>72.7</v>
      </c>
      <c r="F97">
        <v>288.3</v>
      </c>
    </row>
    <row r="98" spans="1:6" x14ac:dyDescent="0.3">
      <c r="A98" s="1">
        <v>43904</v>
      </c>
      <c r="B98">
        <v>103.6</v>
      </c>
      <c r="C98">
        <v>114.1</v>
      </c>
      <c r="D98">
        <v>240.4</v>
      </c>
      <c r="E98">
        <v>69.3</v>
      </c>
      <c r="F98">
        <v>288</v>
      </c>
    </row>
    <row r="99" spans="1:6" x14ac:dyDescent="0.3">
      <c r="A99" s="1">
        <v>43905</v>
      </c>
      <c r="B99">
        <v>284.39999999999998</v>
      </c>
      <c r="C99">
        <v>205.8</v>
      </c>
      <c r="D99">
        <v>220.9</v>
      </c>
      <c r="E99">
        <v>126.4</v>
      </c>
      <c r="F99">
        <v>403</v>
      </c>
    </row>
    <row r="100" spans="1:6" x14ac:dyDescent="0.3">
      <c r="A100" s="1">
        <v>43906</v>
      </c>
      <c r="B100">
        <v>271.39999999999998</v>
      </c>
      <c r="C100">
        <v>210.4</v>
      </c>
      <c r="D100">
        <v>218.1</v>
      </c>
      <c r="E100">
        <v>122.3</v>
      </c>
      <c r="F100">
        <v>364.9</v>
      </c>
    </row>
    <row r="101" spans="1:6" x14ac:dyDescent="0.3">
      <c r="A101" s="1">
        <v>43907</v>
      </c>
      <c r="B101">
        <v>270</v>
      </c>
      <c r="C101">
        <v>199.5</v>
      </c>
      <c r="D101">
        <v>201.3</v>
      </c>
      <c r="E101">
        <v>119.6</v>
      </c>
      <c r="F101">
        <v>377.9</v>
      </c>
    </row>
    <row r="102" spans="1:6" x14ac:dyDescent="0.3">
      <c r="A102" s="1">
        <v>43908</v>
      </c>
      <c r="B102">
        <v>291.7</v>
      </c>
      <c r="C102">
        <v>214.9</v>
      </c>
      <c r="D102">
        <v>218.1</v>
      </c>
      <c r="E102">
        <v>130.19999999999999</v>
      </c>
      <c r="F102">
        <v>368.4</v>
      </c>
    </row>
    <row r="103" spans="1:6" x14ac:dyDescent="0.3">
      <c r="A103" s="1">
        <v>43909</v>
      </c>
      <c r="B103">
        <v>268.89999999999998</v>
      </c>
      <c r="C103">
        <v>207.9</v>
      </c>
      <c r="D103">
        <v>225.8</v>
      </c>
      <c r="E103">
        <v>113.4</v>
      </c>
      <c r="F103">
        <v>325.60000000000002</v>
      </c>
    </row>
    <row r="104" spans="1:6" x14ac:dyDescent="0.3">
      <c r="A104" s="1">
        <v>43910</v>
      </c>
      <c r="B104">
        <v>262.60000000000002</v>
      </c>
      <c r="C104">
        <v>210.1</v>
      </c>
      <c r="D104">
        <v>239.7</v>
      </c>
      <c r="E104">
        <v>127.8</v>
      </c>
      <c r="F104">
        <v>318.3</v>
      </c>
    </row>
    <row r="105" spans="1:6" x14ac:dyDescent="0.3">
      <c r="A105" s="1">
        <v>43911</v>
      </c>
      <c r="B105">
        <v>244.6</v>
      </c>
      <c r="C105">
        <v>214.6</v>
      </c>
      <c r="D105">
        <v>242.6</v>
      </c>
      <c r="E105">
        <v>135.5</v>
      </c>
      <c r="F105">
        <v>313.39999999999998</v>
      </c>
    </row>
    <row r="106" spans="1:6" x14ac:dyDescent="0.3">
      <c r="A106" s="1">
        <v>43912</v>
      </c>
      <c r="B106">
        <v>73.900000000000006</v>
      </c>
      <c r="C106">
        <v>74.2</v>
      </c>
      <c r="D106">
        <v>146.19999999999999</v>
      </c>
      <c r="E106">
        <v>44.3</v>
      </c>
      <c r="F106">
        <v>236.8</v>
      </c>
    </row>
    <row r="107" spans="1:6" x14ac:dyDescent="0.3">
      <c r="A107" s="1">
        <v>43913</v>
      </c>
      <c r="B107">
        <v>75.8</v>
      </c>
      <c r="C107">
        <v>75.8</v>
      </c>
      <c r="D107">
        <v>149.5</v>
      </c>
      <c r="E107">
        <v>45.8</v>
      </c>
      <c r="F107">
        <v>241.4</v>
      </c>
    </row>
    <row r="108" spans="1:6" x14ac:dyDescent="0.3">
      <c r="A108" s="1">
        <v>43914</v>
      </c>
      <c r="B108">
        <v>69.599999999999994</v>
      </c>
      <c r="C108">
        <v>73.2</v>
      </c>
      <c r="D108">
        <v>148.6</v>
      </c>
      <c r="E108">
        <v>47.6</v>
      </c>
      <c r="F108">
        <v>249</v>
      </c>
    </row>
    <row r="109" spans="1:6" x14ac:dyDescent="0.3">
      <c r="A109" s="1">
        <v>43915</v>
      </c>
      <c r="B109">
        <v>72.400000000000006</v>
      </c>
      <c r="C109">
        <v>70.3</v>
      </c>
      <c r="D109">
        <v>150.1</v>
      </c>
      <c r="E109">
        <v>46.1</v>
      </c>
      <c r="F109">
        <v>248</v>
      </c>
    </row>
    <row r="110" spans="1:6" x14ac:dyDescent="0.3">
      <c r="A110" s="1">
        <v>43916</v>
      </c>
      <c r="B110">
        <v>74</v>
      </c>
      <c r="C110">
        <v>73.8</v>
      </c>
      <c r="D110">
        <v>150.6</v>
      </c>
      <c r="E110">
        <v>47.5</v>
      </c>
      <c r="F110">
        <v>252.4</v>
      </c>
    </row>
    <row r="111" spans="1:6" x14ac:dyDescent="0.3">
      <c r="A111" s="1">
        <v>43917</v>
      </c>
      <c r="B111">
        <v>75.900000000000006</v>
      </c>
      <c r="C111">
        <v>76.7</v>
      </c>
      <c r="D111">
        <v>155.5</v>
      </c>
      <c r="E111">
        <v>48.4</v>
      </c>
      <c r="F111">
        <v>260.3</v>
      </c>
    </row>
    <row r="112" spans="1:6" x14ac:dyDescent="0.3">
      <c r="A112" s="1">
        <v>43918</v>
      </c>
      <c r="B112">
        <v>77.7</v>
      </c>
      <c r="C112">
        <v>79.3</v>
      </c>
      <c r="D112">
        <v>158.30000000000001</v>
      </c>
      <c r="E112">
        <v>50.1</v>
      </c>
      <c r="F112">
        <v>265.89999999999998</v>
      </c>
    </row>
    <row r="113" spans="1:6" x14ac:dyDescent="0.3">
      <c r="A113" s="1">
        <v>43919</v>
      </c>
      <c r="B113">
        <v>106.4</v>
      </c>
      <c r="C113">
        <v>115.6</v>
      </c>
      <c r="D113">
        <v>212.7</v>
      </c>
      <c r="E113">
        <v>66.3</v>
      </c>
      <c r="F113">
        <v>274.39999999999998</v>
      </c>
    </row>
    <row r="114" spans="1:6" x14ac:dyDescent="0.3">
      <c r="A114" s="1">
        <v>43920</v>
      </c>
      <c r="B114">
        <v>106.4</v>
      </c>
      <c r="C114">
        <v>118</v>
      </c>
      <c r="D114">
        <v>215.9</v>
      </c>
      <c r="E114">
        <v>66.400000000000006</v>
      </c>
      <c r="F114">
        <v>270.5</v>
      </c>
    </row>
    <row r="115" spans="1:6" x14ac:dyDescent="0.3">
      <c r="A115" s="1">
        <v>43921</v>
      </c>
      <c r="B115">
        <v>106.7</v>
      </c>
      <c r="C115">
        <v>119.6</v>
      </c>
      <c r="D115">
        <v>218.6</v>
      </c>
      <c r="E115">
        <v>67.599999999999994</v>
      </c>
      <c r="F115">
        <v>272.89999999999998</v>
      </c>
    </row>
    <row r="116" spans="1:6" x14ac:dyDescent="0.3">
      <c r="A116" s="1">
        <v>43922</v>
      </c>
      <c r="B116">
        <v>95.3</v>
      </c>
      <c r="C116">
        <v>112.8</v>
      </c>
      <c r="D116">
        <v>207.9</v>
      </c>
      <c r="E116">
        <v>65.5</v>
      </c>
      <c r="F116">
        <v>265.5</v>
      </c>
    </row>
    <row r="117" spans="1:6" x14ac:dyDescent="0.3">
      <c r="A117" s="1">
        <v>43923</v>
      </c>
      <c r="B117">
        <v>99</v>
      </c>
      <c r="C117">
        <v>114.7</v>
      </c>
      <c r="D117">
        <v>210.7</v>
      </c>
      <c r="E117">
        <v>64.900000000000006</v>
      </c>
      <c r="F117">
        <v>265.7</v>
      </c>
    </row>
    <row r="118" spans="1:6" x14ac:dyDescent="0.3">
      <c r="A118" s="1">
        <v>43924</v>
      </c>
      <c r="B118">
        <v>101.7</v>
      </c>
      <c r="C118">
        <v>114.3</v>
      </c>
      <c r="D118">
        <v>215.6</v>
      </c>
      <c r="E118">
        <v>61.4</v>
      </c>
      <c r="F118">
        <v>270.7</v>
      </c>
    </row>
    <row r="119" spans="1:6" x14ac:dyDescent="0.3">
      <c r="A119" s="1">
        <v>43925</v>
      </c>
      <c r="B119">
        <v>94.2</v>
      </c>
      <c r="C119">
        <v>102.6</v>
      </c>
      <c r="D119">
        <v>211.3</v>
      </c>
      <c r="E119">
        <v>59.6</v>
      </c>
      <c r="F119">
        <v>260.39999999999998</v>
      </c>
    </row>
    <row r="120" spans="1:6" x14ac:dyDescent="0.3">
      <c r="A120" s="1">
        <v>43926</v>
      </c>
      <c r="B120">
        <v>99.2</v>
      </c>
      <c r="C120">
        <v>107.6</v>
      </c>
      <c r="D120">
        <v>225.1</v>
      </c>
      <c r="E120">
        <v>62</v>
      </c>
      <c r="F120">
        <v>247.7</v>
      </c>
    </row>
    <row r="121" spans="1:6" x14ac:dyDescent="0.3">
      <c r="A121" s="1">
        <v>43934</v>
      </c>
      <c r="B121">
        <v>102.9</v>
      </c>
      <c r="C121">
        <v>116.5</v>
      </c>
      <c r="D121">
        <v>225.9</v>
      </c>
      <c r="E121">
        <v>63.2</v>
      </c>
      <c r="F121">
        <v>252.8</v>
      </c>
    </row>
    <row r="122" spans="1:6" x14ac:dyDescent="0.3">
      <c r="A122" s="1">
        <v>43935</v>
      </c>
      <c r="B122">
        <v>107.7</v>
      </c>
      <c r="C122">
        <v>121.2</v>
      </c>
      <c r="D122">
        <v>226</v>
      </c>
      <c r="E122">
        <v>63.8</v>
      </c>
      <c r="F122">
        <v>258.10000000000002</v>
      </c>
    </row>
    <row r="123" spans="1:6" x14ac:dyDescent="0.3">
      <c r="A123" s="1">
        <v>43936</v>
      </c>
      <c r="B123">
        <v>112.8</v>
      </c>
      <c r="C123">
        <v>125.1</v>
      </c>
      <c r="D123">
        <v>233</v>
      </c>
      <c r="E123">
        <v>63.3</v>
      </c>
      <c r="F123">
        <v>262.7</v>
      </c>
    </row>
    <row r="124" spans="1:6" x14ac:dyDescent="0.3">
      <c r="A124" s="1">
        <v>43937</v>
      </c>
      <c r="B124">
        <v>114.1</v>
      </c>
      <c r="C124">
        <v>125.6</v>
      </c>
      <c r="D124">
        <v>228.5</v>
      </c>
      <c r="E124">
        <v>64</v>
      </c>
      <c r="F124">
        <v>269.8</v>
      </c>
    </row>
    <row r="125" spans="1:6" x14ac:dyDescent="0.3">
      <c r="A125" s="1">
        <v>43938</v>
      </c>
      <c r="B125">
        <v>111.7</v>
      </c>
      <c r="C125">
        <v>124.3</v>
      </c>
      <c r="D125">
        <v>227.1</v>
      </c>
      <c r="E125">
        <v>59.8</v>
      </c>
      <c r="F125">
        <v>267.3</v>
      </c>
    </row>
    <row r="126" spans="1:6" x14ac:dyDescent="0.3">
      <c r="A126" s="1">
        <v>43939</v>
      </c>
      <c r="B126">
        <v>112.3</v>
      </c>
      <c r="C126">
        <v>116.8</v>
      </c>
      <c r="D126">
        <v>217.2</v>
      </c>
      <c r="E126">
        <v>58.1</v>
      </c>
      <c r="F126">
        <v>273.10000000000002</v>
      </c>
    </row>
    <row r="127" spans="1:6" x14ac:dyDescent="0.3">
      <c r="A127" s="1">
        <v>43940</v>
      </c>
      <c r="B127">
        <v>102.8</v>
      </c>
      <c r="C127">
        <v>123.4</v>
      </c>
      <c r="D127">
        <v>229.6</v>
      </c>
      <c r="E127">
        <v>69.099999999999994</v>
      </c>
      <c r="F127">
        <v>268</v>
      </c>
    </row>
    <row r="128" spans="1:6" x14ac:dyDescent="0.3">
      <c r="A128" s="1">
        <v>43941</v>
      </c>
      <c r="B128">
        <v>105.2</v>
      </c>
      <c r="C128">
        <v>126.5</v>
      </c>
      <c r="D128">
        <v>239.7</v>
      </c>
      <c r="E128">
        <v>69.400000000000006</v>
      </c>
      <c r="F128">
        <v>274.7</v>
      </c>
    </row>
    <row r="129" spans="1:6" x14ac:dyDescent="0.3">
      <c r="A129" s="1">
        <v>43942</v>
      </c>
      <c r="B129">
        <v>105.8</v>
      </c>
      <c r="C129">
        <v>125.3</v>
      </c>
      <c r="D129">
        <v>234.3</v>
      </c>
      <c r="E129">
        <v>69.099999999999994</v>
      </c>
      <c r="F129">
        <v>259.3</v>
      </c>
    </row>
    <row r="130" spans="1:6" x14ac:dyDescent="0.3">
      <c r="A130" s="1">
        <v>43943</v>
      </c>
      <c r="B130">
        <v>92.4</v>
      </c>
      <c r="C130">
        <v>129.69999999999999</v>
      </c>
      <c r="D130">
        <v>226.4</v>
      </c>
      <c r="E130">
        <v>68.7</v>
      </c>
      <c r="F130">
        <v>221.2</v>
      </c>
    </row>
    <row r="131" spans="1:6" x14ac:dyDescent="0.3">
      <c r="A131" s="1">
        <v>43944</v>
      </c>
      <c r="B131">
        <v>100.2</v>
      </c>
      <c r="C131">
        <v>115</v>
      </c>
      <c r="D131">
        <v>234.3</v>
      </c>
      <c r="E131">
        <v>70</v>
      </c>
      <c r="F131">
        <v>231</v>
      </c>
    </row>
    <row r="132" spans="1:6" x14ac:dyDescent="0.3">
      <c r="A132" s="1">
        <v>43945</v>
      </c>
      <c r="B132">
        <v>104.3</v>
      </c>
      <c r="C132">
        <v>120</v>
      </c>
      <c r="D132">
        <v>229.4</v>
      </c>
      <c r="E132">
        <v>65.8</v>
      </c>
      <c r="F132">
        <v>248</v>
      </c>
    </row>
    <row r="133" spans="1:6" x14ac:dyDescent="0.3">
      <c r="A133" s="1">
        <v>43946</v>
      </c>
      <c r="B133">
        <v>97.3</v>
      </c>
      <c r="C133">
        <v>111.6</v>
      </c>
      <c r="D133">
        <v>227.8</v>
      </c>
      <c r="E133">
        <v>63.1</v>
      </c>
      <c r="F133">
        <v>252.2</v>
      </c>
    </row>
    <row r="134" spans="1:6" x14ac:dyDescent="0.3">
      <c r="A134" s="1">
        <v>43947</v>
      </c>
      <c r="B134">
        <v>181.3</v>
      </c>
      <c r="C134">
        <v>189.3</v>
      </c>
      <c r="D134">
        <v>261.8</v>
      </c>
      <c r="E134">
        <v>135.5</v>
      </c>
      <c r="F134">
        <v>412.6</v>
      </c>
    </row>
    <row r="135" spans="1:6" x14ac:dyDescent="0.3">
      <c r="A135" s="1">
        <v>43948</v>
      </c>
      <c r="B135">
        <v>162.6</v>
      </c>
      <c r="C135">
        <v>184.2</v>
      </c>
      <c r="D135">
        <v>268.10000000000002</v>
      </c>
      <c r="E135">
        <v>131.80000000000001</v>
      </c>
      <c r="F135">
        <v>444.2</v>
      </c>
    </row>
    <row r="136" spans="1:6" x14ac:dyDescent="0.3">
      <c r="A136" s="1">
        <v>43949</v>
      </c>
      <c r="B136">
        <v>186.4</v>
      </c>
      <c r="C136">
        <v>189.4</v>
      </c>
      <c r="D136">
        <v>271.3</v>
      </c>
      <c r="E136">
        <v>131.19999999999999</v>
      </c>
      <c r="F136">
        <v>471.8</v>
      </c>
    </row>
    <row r="137" spans="1:6" x14ac:dyDescent="0.3">
      <c r="A137" s="1">
        <v>43950</v>
      </c>
      <c r="B137">
        <v>198.8</v>
      </c>
      <c r="C137">
        <v>185.1</v>
      </c>
      <c r="D137">
        <v>270.39999999999998</v>
      </c>
      <c r="E137">
        <v>134.4</v>
      </c>
      <c r="F137">
        <v>431.1</v>
      </c>
    </row>
    <row r="138" spans="1:6" x14ac:dyDescent="0.3">
      <c r="A138" s="1">
        <v>43951</v>
      </c>
      <c r="B138">
        <v>186</v>
      </c>
      <c r="C138">
        <v>183.5</v>
      </c>
      <c r="D138">
        <v>275.2</v>
      </c>
      <c r="E138">
        <v>129.19999999999999</v>
      </c>
      <c r="F138">
        <v>381.6</v>
      </c>
    </row>
    <row r="139" spans="1:6" x14ac:dyDescent="0.3">
      <c r="A139" s="1">
        <v>43952</v>
      </c>
      <c r="B139">
        <v>190.3</v>
      </c>
      <c r="C139">
        <v>187.4</v>
      </c>
      <c r="D139">
        <v>271</v>
      </c>
      <c r="E139">
        <v>129</v>
      </c>
      <c r="F139">
        <v>433.9</v>
      </c>
    </row>
    <row r="140" spans="1:6" x14ac:dyDescent="0.3">
      <c r="A140" s="1">
        <v>43953</v>
      </c>
      <c r="B140">
        <v>188.4</v>
      </c>
      <c r="C140">
        <v>179.9</v>
      </c>
      <c r="D140">
        <v>264.89999999999998</v>
      </c>
      <c r="E140">
        <v>123.8</v>
      </c>
      <c r="F140">
        <v>443.4</v>
      </c>
    </row>
    <row r="141" spans="1:6" x14ac:dyDescent="0.3">
      <c r="A141" s="1">
        <v>43954</v>
      </c>
      <c r="B141">
        <v>88.2</v>
      </c>
      <c r="C141">
        <v>89.5</v>
      </c>
      <c r="D141">
        <v>187.7</v>
      </c>
      <c r="E141">
        <v>64.8</v>
      </c>
      <c r="F141">
        <v>282.8</v>
      </c>
    </row>
    <row r="142" spans="1:6" x14ac:dyDescent="0.3">
      <c r="A142" s="1">
        <v>43955</v>
      </c>
      <c r="B142">
        <v>91.2</v>
      </c>
      <c r="C142">
        <v>91</v>
      </c>
      <c r="D142">
        <v>171.6</v>
      </c>
      <c r="E142">
        <v>61.2</v>
      </c>
      <c r="F142">
        <v>280</v>
      </c>
    </row>
    <row r="143" spans="1:6" x14ac:dyDescent="0.3">
      <c r="A143" s="1">
        <v>43956</v>
      </c>
      <c r="B143">
        <v>100.5</v>
      </c>
      <c r="C143">
        <v>108.2</v>
      </c>
      <c r="D143">
        <v>185.3</v>
      </c>
      <c r="E143">
        <v>65.8</v>
      </c>
      <c r="F143">
        <v>260.8</v>
      </c>
    </row>
    <row r="144" spans="1:6" x14ac:dyDescent="0.3">
      <c r="A144" s="1">
        <v>43964</v>
      </c>
      <c r="B144">
        <v>105.4</v>
      </c>
      <c r="C144">
        <v>106.9</v>
      </c>
      <c r="D144">
        <v>178.8</v>
      </c>
      <c r="E144">
        <v>68.5</v>
      </c>
      <c r="F144">
        <v>269.3</v>
      </c>
    </row>
    <row r="145" spans="1:6" x14ac:dyDescent="0.3">
      <c r="A145" s="1">
        <v>43965</v>
      </c>
      <c r="B145">
        <v>112.9</v>
      </c>
      <c r="C145">
        <v>109.1</v>
      </c>
      <c r="D145">
        <v>192.5</v>
      </c>
      <c r="E145">
        <v>65.7</v>
      </c>
      <c r="F145">
        <v>257.60000000000002</v>
      </c>
    </row>
    <row r="146" spans="1:6" x14ac:dyDescent="0.3">
      <c r="A146" s="1">
        <v>43966</v>
      </c>
      <c r="B146">
        <v>121.1</v>
      </c>
      <c r="C146">
        <v>120.2</v>
      </c>
      <c r="D146">
        <v>208.7</v>
      </c>
      <c r="E146">
        <v>71.8</v>
      </c>
      <c r="F146">
        <v>300.3</v>
      </c>
    </row>
    <row r="147" spans="1:6" x14ac:dyDescent="0.3">
      <c r="A147" s="1">
        <v>43967</v>
      </c>
      <c r="B147">
        <v>129.19999999999999</v>
      </c>
      <c r="C147">
        <v>126.3</v>
      </c>
      <c r="D147">
        <v>214.8</v>
      </c>
      <c r="E147">
        <v>75</v>
      </c>
      <c r="F147">
        <v>316.60000000000002</v>
      </c>
    </row>
    <row r="148" spans="1:6" x14ac:dyDescent="0.3">
      <c r="A148" s="1">
        <v>43968</v>
      </c>
      <c r="B148">
        <v>113</v>
      </c>
      <c r="C148">
        <v>123.6</v>
      </c>
      <c r="D148">
        <v>245.1</v>
      </c>
      <c r="E148">
        <v>70.7</v>
      </c>
      <c r="F148">
        <v>283.5</v>
      </c>
    </row>
    <row r="149" spans="1:6" x14ac:dyDescent="0.3">
      <c r="A149" s="1">
        <v>43969</v>
      </c>
      <c r="B149">
        <v>120.2</v>
      </c>
      <c r="C149">
        <v>128.5</v>
      </c>
      <c r="D149">
        <v>249</v>
      </c>
      <c r="E149">
        <v>69.8</v>
      </c>
      <c r="F149">
        <v>287.39999999999998</v>
      </c>
    </row>
    <row r="150" spans="1:6" x14ac:dyDescent="0.3">
      <c r="A150" s="1">
        <v>43970</v>
      </c>
      <c r="B150">
        <v>120.5</v>
      </c>
      <c r="C150">
        <v>131.6</v>
      </c>
      <c r="D150">
        <v>250.3</v>
      </c>
      <c r="E150">
        <v>71.7</v>
      </c>
      <c r="F150">
        <v>290.89999999999998</v>
      </c>
    </row>
    <row r="151" spans="1:6" x14ac:dyDescent="0.3">
      <c r="A151" s="1">
        <v>43971</v>
      </c>
      <c r="B151">
        <v>123.8</v>
      </c>
      <c r="C151">
        <v>131.6</v>
      </c>
      <c r="D151">
        <v>251.7</v>
      </c>
      <c r="E151">
        <v>70.7</v>
      </c>
      <c r="F151">
        <v>292</v>
      </c>
    </row>
    <row r="152" spans="1:6" x14ac:dyDescent="0.3">
      <c r="A152" s="1">
        <v>43972</v>
      </c>
      <c r="B152">
        <v>126</v>
      </c>
      <c r="C152">
        <v>133</v>
      </c>
      <c r="D152">
        <v>249.7</v>
      </c>
      <c r="E152">
        <v>73.400000000000006</v>
      </c>
      <c r="F152">
        <v>295.5</v>
      </c>
    </row>
    <row r="153" spans="1:6" x14ac:dyDescent="0.3">
      <c r="A153" s="1">
        <v>43973</v>
      </c>
      <c r="B153">
        <v>127.2</v>
      </c>
      <c r="C153">
        <v>131.6</v>
      </c>
      <c r="D153">
        <v>247.4</v>
      </c>
      <c r="E153">
        <v>62</v>
      </c>
      <c r="F153">
        <v>295.39999999999998</v>
      </c>
    </row>
    <row r="154" spans="1:6" x14ac:dyDescent="0.3">
      <c r="A154" s="1">
        <v>43974</v>
      </c>
      <c r="B154">
        <v>121.6</v>
      </c>
      <c r="C154">
        <v>122.9</v>
      </c>
      <c r="D154">
        <v>243.3</v>
      </c>
      <c r="E154">
        <v>72.099999999999994</v>
      </c>
      <c r="F154">
        <v>286.3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3D344-7B3B-4A19-A30A-DAED4F1B9B64}">
  <dimension ref="A1:L110"/>
  <sheetViews>
    <sheetView workbookViewId="0">
      <selection activeCell="A18" sqref="A18"/>
    </sheetView>
  </sheetViews>
  <sheetFormatPr defaultRowHeight="14.4" x14ac:dyDescent="0.3"/>
  <cols>
    <col min="1" max="1" width="17.88671875" bestFit="1" customWidth="1"/>
    <col min="2" max="2" width="15.5546875" bestFit="1" customWidth="1"/>
    <col min="3" max="3" width="12" bestFit="1" customWidth="1"/>
    <col min="4" max="4" width="8" bestFit="1" customWidth="1"/>
    <col min="5" max="5" width="12.5546875" bestFit="1" customWidth="1"/>
    <col min="6" max="6" width="14.6640625" bestFit="1" customWidth="1"/>
    <col min="7" max="7" width="10.77734375" bestFit="1" customWidth="1"/>
    <col min="8" max="8" width="12.5546875" bestFit="1" customWidth="1"/>
    <col min="9" max="9" width="14.6640625" bestFit="1" customWidth="1"/>
    <col min="10" max="10" width="8" bestFit="1" customWidth="1"/>
    <col min="11" max="12" width="10.44140625" customWidth="1"/>
    <col min="13" max="13" width="8" bestFit="1" customWidth="1"/>
    <col min="14" max="14" width="10.77734375" bestFit="1" customWidth="1"/>
    <col min="15" max="15" width="5" bestFit="1" customWidth="1"/>
    <col min="16" max="16" width="3" bestFit="1" customWidth="1"/>
    <col min="17" max="17" width="5" bestFit="1" customWidth="1"/>
    <col min="18" max="31" width="6" bestFit="1" customWidth="1"/>
    <col min="32" max="32" width="4" bestFit="1" customWidth="1"/>
    <col min="33" max="35" width="6" bestFit="1" customWidth="1"/>
    <col min="36" max="36" width="4" bestFit="1" customWidth="1"/>
    <col min="37" max="52" width="6" bestFit="1" customWidth="1"/>
    <col min="53" max="53" width="4" bestFit="1" customWidth="1"/>
    <col min="54" max="84" width="6" bestFit="1" customWidth="1"/>
    <col min="85" max="85" width="4" bestFit="1" customWidth="1"/>
    <col min="86" max="86" width="10.77734375" bestFit="1" customWidth="1"/>
  </cols>
  <sheetData>
    <row r="1" spans="1:6" x14ac:dyDescent="0.3">
      <c r="A1" s="2" t="s">
        <v>6</v>
      </c>
      <c r="B1" t="s">
        <v>15</v>
      </c>
      <c r="C1" t="s">
        <v>14</v>
      </c>
      <c r="D1" t="s">
        <v>12</v>
      </c>
      <c r="E1" t="s">
        <v>16</v>
      </c>
      <c r="F1" t="s">
        <v>13</v>
      </c>
    </row>
    <row r="2" spans="1:6" x14ac:dyDescent="0.3">
      <c r="A2" s="3" t="s">
        <v>8</v>
      </c>
      <c r="B2" s="4">
        <v>2351.8999999999996</v>
      </c>
      <c r="C2" s="4">
        <v>6417.9000000000015</v>
      </c>
      <c r="D2" s="4">
        <v>4170.5000000000009</v>
      </c>
      <c r="E2" s="4">
        <v>8977</v>
      </c>
      <c r="F2" s="4">
        <v>4003.7</v>
      </c>
    </row>
    <row r="3" spans="1:6" x14ac:dyDescent="0.3">
      <c r="A3" s="3" t="s">
        <v>9</v>
      </c>
      <c r="B3" s="4">
        <v>2397.2999999999997</v>
      </c>
      <c r="C3" s="4">
        <v>6811.1</v>
      </c>
      <c r="D3" s="4">
        <v>4395.6000000000013</v>
      </c>
      <c r="E3" s="4">
        <v>8870.9000000000015</v>
      </c>
      <c r="F3" s="4">
        <v>4140.7</v>
      </c>
    </row>
    <row r="4" spans="1:6" x14ac:dyDescent="0.3">
      <c r="A4" s="3" t="s">
        <v>10</v>
      </c>
      <c r="B4" s="4">
        <v>2719.7999999999993</v>
      </c>
      <c r="C4" s="4">
        <v>6249.6999999999989</v>
      </c>
      <c r="D4" s="4">
        <v>4646.8000000000011</v>
      </c>
      <c r="E4" s="4">
        <v>9702.4</v>
      </c>
      <c r="F4" s="4">
        <v>4368.3999999999987</v>
      </c>
    </row>
    <row r="5" spans="1:6" x14ac:dyDescent="0.3">
      <c r="A5" s="3" t="s">
        <v>7</v>
      </c>
      <c r="B5" s="4">
        <v>7468.9999999999982</v>
      </c>
      <c r="C5" s="4">
        <v>19478.7</v>
      </c>
      <c r="D5" s="4">
        <v>13212.900000000003</v>
      </c>
      <c r="E5" s="4">
        <v>27550.300000000003</v>
      </c>
      <c r="F5" s="4">
        <v>12512.8</v>
      </c>
    </row>
    <row r="6" spans="1:6" x14ac:dyDescent="0.3">
      <c r="A6" s="3" t="s">
        <v>47</v>
      </c>
    </row>
    <row r="7" spans="1:6" x14ac:dyDescent="0.3">
      <c r="E7" t="s">
        <v>114</v>
      </c>
    </row>
    <row r="8" spans="1:6" x14ac:dyDescent="0.3">
      <c r="A8" s="2" t="s">
        <v>51</v>
      </c>
      <c r="B8" s="2" t="s">
        <v>11</v>
      </c>
      <c r="E8" s="2" t="s">
        <v>6</v>
      </c>
      <c r="F8" t="s">
        <v>50</v>
      </c>
    </row>
    <row r="9" spans="1:6" x14ac:dyDescent="0.3">
      <c r="A9" s="2" t="s">
        <v>6</v>
      </c>
      <c r="B9" t="s">
        <v>0</v>
      </c>
      <c r="C9" t="s">
        <v>7</v>
      </c>
      <c r="E9" s="3" t="s">
        <v>23</v>
      </c>
      <c r="F9" s="4">
        <v>245.8</v>
      </c>
    </row>
    <row r="10" spans="1:6" x14ac:dyDescent="0.3">
      <c r="A10" s="3" t="s">
        <v>8</v>
      </c>
      <c r="B10" s="4">
        <v>139.01666666666671</v>
      </c>
      <c r="C10" s="4">
        <v>139.01666666666671</v>
      </c>
      <c r="E10" s="3" t="s">
        <v>24</v>
      </c>
      <c r="F10" s="4">
        <v>256.7</v>
      </c>
    </row>
    <row r="11" spans="1:6" x14ac:dyDescent="0.3">
      <c r="A11" s="3" t="s">
        <v>9</v>
      </c>
      <c r="B11" s="4">
        <v>151.57241379310346</v>
      </c>
      <c r="C11" s="4">
        <v>151.57241379310346</v>
      </c>
      <c r="E11" s="3" t="s">
        <v>25</v>
      </c>
      <c r="F11" s="4">
        <v>265.3</v>
      </c>
    </row>
    <row r="12" spans="1:6" x14ac:dyDescent="0.3">
      <c r="A12" s="3" t="s">
        <v>10</v>
      </c>
      <c r="B12" s="4">
        <v>154.89333333333335</v>
      </c>
      <c r="C12" s="4">
        <v>154.89333333333335</v>
      </c>
      <c r="E12" s="3" t="s">
        <v>26</v>
      </c>
      <c r="F12" s="4"/>
    </row>
    <row r="13" spans="1:6" x14ac:dyDescent="0.3">
      <c r="A13" s="3" t="s">
        <v>7</v>
      </c>
      <c r="B13" s="4">
        <v>148.45955056179776</v>
      </c>
      <c r="C13" s="4">
        <v>148.45955056179776</v>
      </c>
      <c r="E13" s="5" t="s">
        <v>8</v>
      </c>
      <c r="F13" s="4">
        <v>266.5</v>
      </c>
    </row>
    <row r="14" spans="1:6" x14ac:dyDescent="0.3">
      <c r="E14" s="3" t="s">
        <v>27</v>
      </c>
      <c r="F14" s="4">
        <v>257.89999999999998</v>
      </c>
    </row>
    <row r="15" spans="1:6" x14ac:dyDescent="0.3">
      <c r="A15" s="3" t="s">
        <v>52</v>
      </c>
      <c r="B15" t="s">
        <v>53</v>
      </c>
      <c r="C15" t="s">
        <v>54</v>
      </c>
      <c r="E15" s="3" t="s">
        <v>28</v>
      </c>
      <c r="F15" s="4">
        <v>260.3</v>
      </c>
    </row>
    <row r="16" spans="1:6" x14ac:dyDescent="0.3">
      <c r="A16">
        <f>MAX(data1[Demand])</f>
        <v>452.6</v>
      </c>
      <c r="B16">
        <f>MIN(data1[Demand])</f>
        <v>44.1</v>
      </c>
      <c r="C16" s="6">
        <f>AVERAGE(data1[Demand])</f>
        <v>180.27797752808988</v>
      </c>
      <c r="E16" s="3" t="s">
        <v>29</v>
      </c>
      <c r="F16" s="4">
        <v>233.4</v>
      </c>
    </row>
    <row r="17" spans="5:12" x14ac:dyDescent="0.3">
      <c r="E17" s="3" t="s">
        <v>44</v>
      </c>
      <c r="F17" s="4">
        <v>118.3</v>
      </c>
    </row>
    <row r="18" spans="5:12" x14ac:dyDescent="0.3">
      <c r="E18" s="3" t="s">
        <v>45</v>
      </c>
      <c r="F18" s="4">
        <v>123.5</v>
      </c>
    </row>
    <row r="19" spans="5:12" x14ac:dyDescent="0.3">
      <c r="E19" s="3" t="s">
        <v>46</v>
      </c>
      <c r="F19" s="4">
        <v>126.9</v>
      </c>
    </row>
    <row r="20" spans="5:12" x14ac:dyDescent="0.3">
      <c r="E20" s="3" t="s">
        <v>7</v>
      </c>
      <c r="F20" s="4">
        <v>2154.6</v>
      </c>
      <c r="H20" s="2" t="s">
        <v>6</v>
      </c>
      <c r="I20" t="s">
        <v>50</v>
      </c>
    </row>
    <row r="21" spans="5:12" x14ac:dyDescent="0.3">
      <c r="E21" s="3" t="s">
        <v>115</v>
      </c>
      <c r="H21" s="3" t="s">
        <v>17</v>
      </c>
      <c r="I21" s="4">
        <v>116.3</v>
      </c>
      <c r="K21" t="s">
        <v>5</v>
      </c>
      <c r="L21" t="s">
        <v>49</v>
      </c>
    </row>
    <row r="22" spans="5:12" x14ac:dyDescent="0.3">
      <c r="H22" s="3" t="s">
        <v>18</v>
      </c>
      <c r="I22" s="4">
        <v>123.1</v>
      </c>
      <c r="K22" t="str">
        <f t="shared" ref="K22:K26" si="0">H21</f>
        <v>02-Mar</v>
      </c>
      <c r="L22">
        <f t="shared" ref="L22:L26" si="1">GETPIVOTDATA("Demand",$H$20,"Days (Date)",62)</f>
        <v>116.3</v>
      </c>
    </row>
    <row r="23" spans="5:12" x14ac:dyDescent="0.3">
      <c r="H23" s="3" t="s">
        <v>19</v>
      </c>
      <c r="I23" s="4">
        <v>124</v>
      </c>
      <c r="K23" t="str">
        <f t="shared" si="0"/>
        <v>03-Mar</v>
      </c>
      <c r="L23">
        <f t="shared" si="1"/>
        <v>116.3</v>
      </c>
    </row>
    <row r="24" spans="5:12" x14ac:dyDescent="0.3">
      <c r="H24" s="3" t="s">
        <v>20</v>
      </c>
      <c r="I24" s="4">
        <v>125.6</v>
      </c>
      <c r="K24" t="str">
        <f t="shared" si="0"/>
        <v>04-Mar</v>
      </c>
      <c r="L24">
        <f t="shared" si="1"/>
        <v>116.3</v>
      </c>
    </row>
    <row r="25" spans="5:12" x14ac:dyDescent="0.3">
      <c r="H25" s="3" t="s">
        <v>21</v>
      </c>
      <c r="I25" s="4">
        <v>124.7</v>
      </c>
      <c r="K25" t="str">
        <f t="shared" si="0"/>
        <v>05-Mar</v>
      </c>
      <c r="L25">
        <f t="shared" si="1"/>
        <v>116.3</v>
      </c>
    </row>
    <row r="26" spans="5:12" x14ac:dyDescent="0.3">
      <c r="H26" s="3" t="s">
        <v>22</v>
      </c>
      <c r="I26" s="4">
        <v>116.3</v>
      </c>
      <c r="K26" t="str">
        <f t="shared" si="0"/>
        <v>06-Mar</v>
      </c>
      <c r="L26">
        <f t="shared" si="1"/>
        <v>116.3</v>
      </c>
    </row>
    <row r="27" spans="5:12" x14ac:dyDescent="0.3">
      <c r="H27" s="3" t="s">
        <v>23</v>
      </c>
      <c r="I27" s="4">
        <v>186</v>
      </c>
      <c r="K27" s="4" t="str">
        <f t="shared" ref="K27:K41" si="2">H26</f>
        <v>07-Mar</v>
      </c>
      <c r="L27" s="4">
        <f t="shared" ref="L27:L41" si="3">GETPIVOTDATA("Demand",$H$20,"Days (Date)",62)</f>
        <v>116.3</v>
      </c>
    </row>
    <row r="28" spans="5:12" x14ac:dyDescent="0.3">
      <c r="H28" s="3" t="s">
        <v>24</v>
      </c>
      <c r="I28" s="4">
        <v>204.4</v>
      </c>
      <c r="K28" s="4" t="str">
        <f t="shared" si="2"/>
        <v>08-Mar</v>
      </c>
      <c r="L28" s="4">
        <f t="shared" si="3"/>
        <v>116.3</v>
      </c>
    </row>
    <row r="29" spans="5:12" x14ac:dyDescent="0.3">
      <c r="H29" s="3" t="s">
        <v>25</v>
      </c>
      <c r="I29" s="4">
        <v>217</v>
      </c>
      <c r="K29" s="4" t="str">
        <f t="shared" si="2"/>
        <v>09-Mar</v>
      </c>
      <c r="L29" s="4">
        <f t="shared" si="3"/>
        <v>116.3</v>
      </c>
    </row>
    <row r="30" spans="5:12" x14ac:dyDescent="0.3">
      <c r="H30" s="3" t="s">
        <v>26</v>
      </c>
      <c r="I30" s="4">
        <v>214.8</v>
      </c>
      <c r="K30" s="4" t="str">
        <f t="shared" si="2"/>
        <v>10-Mar</v>
      </c>
      <c r="L30" s="4">
        <f t="shared" si="3"/>
        <v>116.3</v>
      </c>
    </row>
    <row r="31" spans="5:12" x14ac:dyDescent="0.3">
      <c r="H31" s="3" t="s">
        <v>27</v>
      </c>
      <c r="I31" s="4">
        <v>214</v>
      </c>
      <c r="K31" s="4" t="str">
        <f t="shared" si="2"/>
        <v>11-Mar</v>
      </c>
      <c r="L31" s="4">
        <f t="shared" si="3"/>
        <v>116.3</v>
      </c>
    </row>
    <row r="32" spans="5:12" x14ac:dyDescent="0.3">
      <c r="H32" s="3" t="s">
        <v>28</v>
      </c>
      <c r="I32" s="4">
        <v>218.3</v>
      </c>
      <c r="K32" s="4" t="str">
        <f t="shared" si="2"/>
        <v>12-Mar</v>
      </c>
      <c r="L32" s="4">
        <f t="shared" si="3"/>
        <v>116.3</v>
      </c>
    </row>
    <row r="33" spans="8:12" x14ac:dyDescent="0.3">
      <c r="H33" s="3" t="s">
        <v>29</v>
      </c>
      <c r="I33" s="4">
        <v>194.6</v>
      </c>
      <c r="K33" s="4" t="str">
        <f t="shared" si="2"/>
        <v>13-Mar</v>
      </c>
      <c r="L33" s="4">
        <f t="shared" si="3"/>
        <v>116.3</v>
      </c>
    </row>
    <row r="34" spans="8:12" x14ac:dyDescent="0.3">
      <c r="H34" s="3" t="s">
        <v>30</v>
      </c>
      <c r="I34" s="4">
        <v>87.9</v>
      </c>
      <c r="K34" s="4" t="str">
        <f t="shared" si="2"/>
        <v>14-Mar</v>
      </c>
      <c r="L34" s="4">
        <f t="shared" si="3"/>
        <v>116.3</v>
      </c>
    </row>
    <row r="35" spans="8:12" x14ac:dyDescent="0.3">
      <c r="H35" s="3" t="s">
        <v>31</v>
      </c>
      <c r="I35" s="4">
        <v>86.6</v>
      </c>
      <c r="K35" s="4" t="str">
        <f t="shared" si="2"/>
        <v>15-Mar</v>
      </c>
      <c r="L35" s="4">
        <f t="shared" si="3"/>
        <v>116.3</v>
      </c>
    </row>
    <row r="36" spans="8:12" x14ac:dyDescent="0.3">
      <c r="H36" s="3" t="s">
        <v>32</v>
      </c>
      <c r="I36" s="4">
        <v>93.4</v>
      </c>
      <c r="K36" s="4" t="str">
        <f t="shared" si="2"/>
        <v>16-Mar</v>
      </c>
      <c r="L36" s="4">
        <f t="shared" si="3"/>
        <v>116.3</v>
      </c>
    </row>
    <row r="37" spans="8:12" x14ac:dyDescent="0.3">
      <c r="H37" s="3" t="s">
        <v>33</v>
      </c>
      <c r="I37" s="4">
        <v>102.4</v>
      </c>
      <c r="K37" s="4" t="str">
        <f t="shared" si="2"/>
        <v>17-Mar</v>
      </c>
      <c r="L37" s="4">
        <f t="shared" si="3"/>
        <v>116.3</v>
      </c>
    </row>
    <row r="38" spans="8:12" x14ac:dyDescent="0.3">
      <c r="H38" s="3" t="s">
        <v>34</v>
      </c>
      <c r="I38" s="4">
        <v>108.4</v>
      </c>
      <c r="K38" s="4" t="str">
        <f t="shared" si="2"/>
        <v>18-Mar</v>
      </c>
      <c r="L38" s="4">
        <f t="shared" si="3"/>
        <v>116.3</v>
      </c>
    </row>
    <row r="39" spans="8:12" x14ac:dyDescent="0.3">
      <c r="H39" s="3" t="s">
        <v>35</v>
      </c>
      <c r="I39" s="4">
        <v>114.4</v>
      </c>
      <c r="K39" s="4" t="str">
        <f t="shared" si="2"/>
        <v>19-Mar</v>
      </c>
      <c r="L39" s="4">
        <f t="shared" si="3"/>
        <v>116.3</v>
      </c>
    </row>
    <row r="40" spans="8:12" x14ac:dyDescent="0.3">
      <c r="H40" s="3" t="s">
        <v>36</v>
      </c>
      <c r="I40" s="4">
        <v>112.5</v>
      </c>
      <c r="K40" s="4" t="str">
        <f t="shared" si="2"/>
        <v>20-Mar</v>
      </c>
      <c r="L40" s="4">
        <f t="shared" si="3"/>
        <v>116.3</v>
      </c>
    </row>
    <row r="41" spans="8:12" x14ac:dyDescent="0.3">
      <c r="H41" s="3" t="s">
        <v>37</v>
      </c>
      <c r="I41" s="4">
        <v>114.5</v>
      </c>
      <c r="K41" s="4" t="str">
        <f t="shared" si="2"/>
        <v>21-Mar</v>
      </c>
      <c r="L41" s="4">
        <f t="shared" si="3"/>
        <v>116.3</v>
      </c>
    </row>
    <row r="42" spans="8:12" x14ac:dyDescent="0.3">
      <c r="H42" s="3" t="s">
        <v>38</v>
      </c>
      <c r="I42" s="4">
        <v>114.2</v>
      </c>
    </row>
    <row r="43" spans="8:12" x14ac:dyDescent="0.3">
      <c r="H43" s="3" t="s">
        <v>39</v>
      </c>
      <c r="I43" s="4">
        <v>108.2</v>
      </c>
    </row>
    <row r="44" spans="8:12" x14ac:dyDescent="0.3">
      <c r="H44" s="3" t="s">
        <v>40</v>
      </c>
      <c r="I44" s="4">
        <v>100.3</v>
      </c>
    </row>
    <row r="45" spans="8:12" x14ac:dyDescent="0.3">
      <c r="H45" s="3" t="s">
        <v>41</v>
      </c>
      <c r="I45" s="4">
        <v>109.9</v>
      </c>
    </row>
    <row r="46" spans="8:12" x14ac:dyDescent="0.3">
      <c r="H46" s="3" t="s">
        <v>42</v>
      </c>
      <c r="I46" s="4">
        <v>108.5</v>
      </c>
    </row>
    <row r="47" spans="8:12" x14ac:dyDescent="0.3">
      <c r="H47" s="3" t="s">
        <v>43</v>
      </c>
      <c r="I47" s="4">
        <v>97.7</v>
      </c>
    </row>
    <row r="48" spans="8:12" x14ac:dyDescent="0.3">
      <c r="H48" s="3" t="s">
        <v>44</v>
      </c>
      <c r="I48" s="4">
        <v>117.7</v>
      </c>
    </row>
    <row r="49" spans="8:9" x14ac:dyDescent="0.3">
      <c r="H49" s="3" t="s">
        <v>45</v>
      </c>
      <c r="I49" s="4">
        <v>123.4</v>
      </c>
    </row>
    <row r="50" spans="8:9" x14ac:dyDescent="0.3">
      <c r="H50" s="3" t="s">
        <v>46</v>
      </c>
      <c r="I50" s="4">
        <v>124.6</v>
      </c>
    </row>
    <row r="51" spans="8:9" x14ac:dyDescent="0.3">
      <c r="H51" s="3" t="s">
        <v>55</v>
      </c>
      <c r="I51" s="4">
        <v>126.3</v>
      </c>
    </row>
    <row r="52" spans="8:9" x14ac:dyDescent="0.3">
      <c r="H52" s="3" t="s">
        <v>56</v>
      </c>
      <c r="I52" s="4">
        <v>129.4</v>
      </c>
    </row>
    <row r="53" spans="8:9" x14ac:dyDescent="0.3">
      <c r="H53" s="3" t="s">
        <v>57</v>
      </c>
      <c r="I53" s="4">
        <v>127.6</v>
      </c>
    </row>
    <row r="54" spans="8:9" x14ac:dyDescent="0.3">
      <c r="H54" s="3" t="s">
        <v>58</v>
      </c>
      <c r="I54" s="4">
        <v>113.9</v>
      </c>
    </row>
    <row r="55" spans="8:9" x14ac:dyDescent="0.3">
      <c r="H55" s="3" t="s">
        <v>59</v>
      </c>
      <c r="I55" s="4">
        <v>117.4</v>
      </c>
    </row>
    <row r="56" spans="8:9" x14ac:dyDescent="0.3">
      <c r="H56" s="3" t="s">
        <v>60</v>
      </c>
      <c r="I56" s="4">
        <v>117.4</v>
      </c>
    </row>
    <row r="57" spans="8:9" x14ac:dyDescent="0.3">
      <c r="H57" s="3" t="s">
        <v>61</v>
      </c>
      <c r="I57" s="4">
        <v>117.2</v>
      </c>
    </row>
    <row r="58" spans="8:9" x14ac:dyDescent="0.3">
      <c r="H58" s="3" t="s">
        <v>62</v>
      </c>
      <c r="I58" s="4">
        <v>117.2</v>
      </c>
    </row>
    <row r="59" spans="8:9" x14ac:dyDescent="0.3">
      <c r="H59" s="3" t="s">
        <v>63</v>
      </c>
      <c r="I59" s="4">
        <v>123.7</v>
      </c>
    </row>
    <row r="60" spans="8:9" x14ac:dyDescent="0.3">
      <c r="H60" s="3" t="s">
        <v>64</v>
      </c>
      <c r="I60" s="4">
        <v>111.9</v>
      </c>
    </row>
    <row r="61" spans="8:9" x14ac:dyDescent="0.3">
      <c r="H61" s="3" t="s">
        <v>65</v>
      </c>
      <c r="I61" s="4">
        <v>95</v>
      </c>
    </row>
    <row r="62" spans="8:9" x14ac:dyDescent="0.3">
      <c r="H62" s="3" t="s">
        <v>66</v>
      </c>
      <c r="I62" s="4">
        <v>197.7</v>
      </c>
    </row>
    <row r="63" spans="8:9" x14ac:dyDescent="0.3">
      <c r="H63" s="3" t="s">
        <v>67</v>
      </c>
      <c r="I63" s="4">
        <v>209.8</v>
      </c>
    </row>
    <row r="64" spans="8:9" x14ac:dyDescent="0.3">
      <c r="H64" s="3" t="s">
        <v>68</v>
      </c>
      <c r="I64" s="4">
        <v>219.4</v>
      </c>
    </row>
    <row r="65" spans="8:9" x14ac:dyDescent="0.3">
      <c r="H65" s="3" t="s">
        <v>69</v>
      </c>
      <c r="I65" s="4">
        <v>219.1</v>
      </c>
    </row>
    <row r="66" spans="8:9" x14ac:dyDescent="0.3">
      <c r="H66" s="3" t="s">
        <v>70</v>
      </c>
      <c r="I66" s="4">
        <v>219.7</v>
      </c>
    </row>
    <row r="67" spans="8:9" x14ac:dyDescent="0.3">
      <c r="H67" s="3" t="s">
        <v>71</v>
      </c>
      <c r="I67" s="4">
        <v>224.5</v>
      </c>
    </row>
    <row r="68" spans="8:9" x14ac:dyDescent="0.3">
      <c r="H68" s="3" t="s">
        <v>72</v>
      </c>
      <c r="I68" s="4">
        <v>211.8</v>
      </c>
    </row>
    <row r="69" spans="8:9" x14ac:dyDescent="0.3">
      <c r="H69" s="3" t="s">
        <v>73</v>
      </c>
      <c r="I69" s="4">
        <v>120.5</v>
      </c>
    </row>
    <row r="70" spans="8:9" x14ac:dyDescent="0.3">
      <c r="H70" s="3" t="s">
        <v>74</v>
      </c>
      <c r="I70" s="4">
        <v>124.7</v>
      </c>
    </row>
    <row r="71" spans="8:9" x14ac:dyDescent="0.3">
      <c r="H71" s="3" t="s">
        <v>75</v>
      </c>
      <c r="I71" s="4">
        <v>124.8</v>
      </c>
    </row>
    <row r="72" spans="8:9" x14ac:dyDescent="0.3">
      <c r="H72" s="3" t="s">
        <v>76</v>
      </c>
      <c r="I72" s="4">
        <v>123</v>
      </c>
    </row>
    <row r="73" spans="8:9" x14ac:dyDescent="0.3">
      <c r="H73" s="3" t="s">
        <v>77</v>
      </c>
      <c r="I73" s="4">
        <v>123</v>
      </c>
    </row>
    <row r="74" spans="8:9" x14ac:dyDescent="0.3">
      <c r="H74" s="3" t="s">
        <v>78</v>
      </c>
      <c r="I74" s="4">
        <v>108</v>
      </c>
    </row>
    <row r="75" spans="8:9" x14ac:dyDescent="0.3">
      <c r="H75" s="3" t="s">
        <v>79</v>
      </c>
      <c r="I75" s="4">
        <v>94.5</v>
      </c>
    </row>
    <row r="76" spans="8:9" x14ac:dyDescent="0.3">
      <c r="H76" s="3" t="s">
        <v>80</v>
      </c>
      <c r="I76" s="4">
        <v>125.5</v>
      </c>
    </row>
    <row r="77" spans="8:9" x14ac:dyDescent="0.3">
      <c r="H77" s="3" t="s">
        <v>81</v>
      </c>
      <c r="I77" s="4">
        <v>131.1</v>
      </c>
    </row>
    <row r="78" spans="8:9" x14ac:dyDescent="0.3">
      <c r="H78" s="3" t="s">
        <v>82</v>
      </c>
      <c r="I78" s="4">
        <v>132.1</v>
      </c>
    </row>
    <row r="79" spans="8:9" x14ac:dyDescent="0.3">
      <c r="H79" s="3" t="s">
        <v>83</v>
      </c>
      <c r="I79" s="4">
        <v>134.5</v>
      </c>
    </row>
    <row r="80" spans="8:9" x14ac:dyDescent="0.3">
      <c r="H80" s="3" t="s">
        <v>84</v>
      </c>
      <c r="I80" s="4">
        <v>133.6</v>
      </c>
    </row>
    <row r="81" spans="8:9" x14ac:dyDescent="0.3">
      <c r="H81" s="3" t="s">
        <v>85</v>
      </c>
      <c r="I81" s="4">
        <v>133</v>
      </c>
    </row>
    <row r="82" spans="8:9" x14ac:dyDescent="0.3">
      <c r="H82" s="3" t="s">
        <v>86</v>
      </c>
      <c r="I82" s="4">
        <v>124.6</v>
      </c>
    </row>
    <row r="83" spans="8:9" x14ac:dyDescent="0.3">
      <c r="H83" s="3" t="s">
        <v>87</v>
      </c>
      <c r="I83" s="4">
        <v>179.6</v>
      </c>
    </row>
    <row r="84" spans="8:9" x14ac:dyDescent="0.3">
      <c r="H84" s="3" t="s">
        <v>88</v>
      </c>
      <c r="I84" s="4">
        <v>186.1</v>
      </c>
    </row>
    <row r="85" spans="8:9" x14ac:dyDescent="0.3">
      <c r="H85" s="3" t="s">
        <v>89</v>
      </c>
      <c r="I85" s="4">
        <v>185.6</v>
      </c>
    </row>
    <row r="86" spans="8:9" x14ac:dyDescent="0.3">
      <c r="H86" s="3" t="s">
        <v>90</v>
      </c>
      <c r="I86" s="4">
        <v>184.2</v>
      </c>
    </row>
    <row r="87" spans="8:9" x14ac:dyDescent="0.3">
      <c r="H87" s="3" t="s">
        <v>91</v>
      </c>
      <c r="I87" s="4">
        <v>179.5</v>
      </c>
    </row>
    <row r="88" spans="8:9" x14ac:dyDescent="0.3">
      <c r="H88" s="3" t="s">
        <v>92</v>
      </c>
      <c r="I88" s="4">
        <v>169.3</v>
      </c>
    </row>
    <row r="89" spans="8:9" x14ac:dyDescent="0.3">
      <c r="H89" s="3" t="s">
        <v>93</v>
      </c>
      <c r="I89" s="4">
        <v>143</v>
      </c>
    </row>
    <row r="90" spans="8:9" x14ac:dyDescent="0.3">
      <c r="H90" s="3" t="s">
        <v>94</v>
      </c>
      <c r="I90" s="4">
        <v>194.3</v>
      </c>
    </row>
    <row r="91" spans="8:9" x14ac:dyDescent="0.3">
      <c r="H91" s="3" t="s">
        <v>95</v>
      </c>
      <c r="I91" s="4">
        <v>211.3</v>
      </c>
    </row>
    <row r="92" spans="8:9" x14ac:dyDescent="0.3">
      <c r="H92" s="3" t="s">
        <v>96</v>
      </c>
      <c r="I92" s="4">
        <v>208.1</v>
      </c>
    </row>
    <row r="93" spans="8:9" x14ac:dyDescent="0.3">
      <c r="H93" s="3" t="s">
        <v>97</v>
      </c>
      <c r="I93" s="4">
        <v>183.2</v>
      </c>
    </row>
    <row r="94" spans="8:9" x14ac:dyDescent="0.3">
      <c r="H94" s="3" t="s">
        <v>98</v>
      </c>
      <c r="I94" s="4">
        <v>177.2</v>
      </c>
    </row>
    <row r="95" spans="8:9" x14ac:dyDescent="0.3">
      <c r="H95" s="3" t="s">
        <v>99</v>
      </c>
      <c r="I95" s="4">
        <v>157.80000000000001</v>
      </c>
    </row>
    <row r="96" spans="8:9" x14ac:dyDescent="0.3">
      <c r="H96" s="3" t="s">
        <v>100</v>
      </c>
      <c r="I96" s="4">
        <v>153.9</v>
      </c>
    </row>
    <row r="97" spans="8:9" x14ac:dyDescent="0.3">
      <c r="H97" s="3" t="s">
        <v>101</v>
      </c>
      <c r="I97" s="4">
        <v>128.19999999999999</v>
      </c>
    </row>
    <row r="98" spans="8:9" x14ac:dyDescent="0.3">
      <c r="H98" s="3" t="s">
        <v>102</v>
      </c>
      <c r="I98" s="4">
        <v>138.6</v>
      </c>
    </row>
    <row r="99" spans="8:9" x14ac:dyDescent="0.3">
      <c r="H99" s="3" t="s">
        <v>103</v>
      </c>
      <c r="I99" s="4">
        <v>141.69999999999999</v>
      </c>
    </row>
    <row r="100" spans="8:9" x14ac:dyDescent="0.3">
      <c r="H100" s="3" t="s">
        <v>104</v>
      </c>
      <c r="I100" s="4">
        <v>144.5</v>
      </c>
    </row>
    <row r="101" spans="8:9" x14ac:dyDescent="0.3">
      <c r="H101" s="3" t="s">
        <v>105</v>
      </c>
      <c r="I101" s="4">
        <v>146.69999999999999</v>
      </c>
    </row>
    <row r="102" spans="8:9" x14ac:dyDescent="0.3">
      <c r="H102" s="3" t="s">
        <v>106</v>
      </c>
      <c r="I102" s="4">
        <v>143.30000000000001</v>
      </c>
    </row>
    <row r="103" spans="8:9" x14ac:dyDescent="0.3">
      <c r="H103" s="3" t="s">
        <v>107</v>
      </c>
      <c r="I103" s="4">
        <v>132.9</v>
      </c>
    </row>
    <row r="104" spans="8:9" x14ac:dyDescent="0.3">
      <c r="H104" s="3" t="s">
        <v>108</v>
      </c>
      <c r="I104" s="4">
        <v>93</v>
      </c>
    </row>
    <row r="105" spans="8:9" x14ac:dyDescent="0.3">
      <c r="H105" s="3" t="s">
        <v>109</v>
      </c>
      <c r="I105" s="4">
        <v>92</v>
      </c>
    </row>
    <row r="106" spans="8:9" x14ac:dyDescent="0.3">
      <c r="H106" s="3" t="s">
        <v>110</v>
      </c>
      <c r="I106" s="4">
        <v>85.9</v>
      </c>
    </row>
    <row r="107" spans="8:9" x14ac:dyDescent="0.3">
      <c r="H107" s="3" t="s">
        <v>111</v>
      </c>
      <c r="I107" s="4">
        <v>76.7</v>
      </c>
    </row>
    <row r="108" spans="8:9" x14ac:dyDescent="0.3">
      <c r="H108" s="3" t="s">
        <v>112</v>
      </c>
      <c r="I108" s="4">
        <v>74.7</v>
      </c>
    </row>
    <row r="109" spans="8:9" x14ac:dyDescent="0.3">
      <c r="H109" s="3" t="s">
        <v>113</v>
      </c>
      <c r="I109" s="4">
        <v>65.900000000000006</v>
      </c>
    </row>
    <row r="110" spans="8:9" x14ac:dyDescent="0.3">
      <c r="H110" s="3" t="s">
        <v>7</v>
      </c>
      <c r="I110" s="4">
        <v>12512.800000000001</v>
      </c>
    </row>
  </sheetData>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6CC3A-4078-4588-AD24-7EBE4B4C8B85}">
  <dimension ref="A1"/>
  <sheetViews>
    <sheetView showGridLines="0" showRowColHeaders="0" tabSelected="1" zoomScale="104" workbookViewId="0">
      <selection activeCell="W2" sqref="W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362B80-87A9-403A-A1E8-80557988C6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Sheet7</vt:lpstr>
      <vt:lpstr>Sheet8</vt:lpstr>
      <vt:lpstr>dataset</vt:lpstr>
      <vt:lpstr>analysis and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Vaishnavi Sabne</cp:lastModifiedBy>
  <dcterms:created xsi:type="dcterms:W3CDTF">2026-04-17T06:53:08Z</dcterms:created>
  <dcterms:modified xsi:type="dcterms:W3CDTF">2026-04-17T08:59:17Z</dcterms:modified>
</cp:coreProperties>
</file>